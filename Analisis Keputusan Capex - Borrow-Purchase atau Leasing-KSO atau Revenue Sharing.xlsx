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defaultThemeVersion="166925"/>
  <mc:AlternateContent xmlns:mc="http://schemas.openxmlformats.org/markup-compatibility/2006">
    <mc:Choice Requires="x15">
      <x15ac:absPath xmlns:x15ac="http://schemas.microsoft.com/office/spreadsheetml/2010/11/ac" url="C:\Users\johny\Pictures\00000000 YPMK Perdhaki\"/>
    </mc:Choice>
  </mc:AlternateContent>
  <xr:revisionPtr revIDLastSave="0" documentId="13_ncr:1_{9DDDCF44-F0CC-46C5-8FE8-02687870DC7C}" xr6:coauthVersionLast="47" xr6:coauthVersionMax="47" xr10:uidLastSave="{00000000-0000-0000-0000-000000000000}"/>
  <workbookProtection workbookAlgorithmName="SHA-512" workbookHashValue="xJaey2TBgFxa59rqN7/KQ6NWkKkDNQDbM+J1PcCQGmBIdkugbQX7WTG0S92ViRGLMZCgv0qC+AC+JkBxllS0Ag==" workbookSaltValue="RhEi79pJE3A9KGxfn75cGg==" workbookSpinCount="100000" lockStructure="1"/>
  <bookViews>
    <workbookView xWindow="-108" yWindow="612" windowWidth="23256" windowHeight="11736" tabRatio="507" xr2:uid="{00000000-000D-0000-FFFF-FFFF00000000}"/>
  </bookViews>
  <sheets>
    <sheet name="MENU" sheetId="4" r:id="rId1"/>
    <sheet name="ALTERNATIF PENAWARAN" sheetId="8" r:id="rId2"/>
    <sheet name="SKEMA REVENUE SHARING" sheetId="9" r:id="rId3"/>
    <sheet name="Ans" sheetId="6"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6" i="6" l="1"/>
  <c r="F7" i="6"/>
  <c r="F8" i="6"/>
  <c r="F9" i="6"/>
  <c r="F5" i="6"/>
  <c r="G5" i="9"/>
  <c r="L6" i="9" l="1"/>
  <c r="L7" i="9"/>
  <c r="L8" i="9"/>
  <c r="L9" i="9"/>
  <c r="L5" i="9"/>
  <c r="D6" i="9" l="1"/>
  <c r="F6" i="9" s="1"/>
  <c r="D7" i="9"/>
  <c r="F7" i="9" s="1"/>
  <c r="D8" i="9"/>
  <c r="F8" i="9" s="1"/>
  <c r="D9" i="9"/>
  <c r="F9" i="9" s="1"/>
  <c r="D10" i="9"/>
  <c r="F10" i="9" s="1"/>
  <c r="D11" i="9"/>
  <c r="F11" i="9" s="1"/>
  <c r="D12" i="9"/>
  <c r="F12" i="9" s="1"/>
  <c r="D13" i="9"/>
  <c r="F13" i="9" s="1"/>
  <c r="D14" i="9"/>
  <c r="F14" i="9" s="1"/>
  <c r="D15" i="9"/>
  <c r="F15" i="9" s="1"/>
  <c r="D16" i="9"/>
  <c r="F16" i="9" s="1"/>
  <c r="D17" i="9"/>
  <c r="F17" i="9" s="1"/>
  <c r="D18" i="9"/>
  <c r="F18" i="9" s="1"/>
  <c r="D19" i="9"/>
  <c r="F19" i="9" s="1"/>
  <c r="D20" i="9"/>
  <c r="F20" i="9" s="1"/>
  <c r="D21" i="9"/>
  <c r="F21" i="9" s="1"/>
  <c r="D22" i="9"/>
  <c r="F22" i="9" s="1"/>
  <c r="D23" i="9"/>
  <c r="F23" i="9" s="1"/>
  <c r="D24" i="9"/>
  <c r="F24" i="9" s="1"/>
  <c r="D25" i="9"/>
  <c r="F25" i="9" s="1"/>
  <c r="D26" i="9"/>
  <c r="F26" i="9" s="1"/>
  <c r="D27" i="9"/>
  <c r="F27" i="9" s="1"/>
  <c r="D28" i="9"/>
  <c r="F28" i="9" s="1"/>
  <c r="D29" i="9"/>
  <c r="F29" i="9" s="1"/>
  <c r="D30" i="9"/>
  <c r="F30" i="9" s="1"/>
  <c r="D31" i="9"/>
  <c r="F31" i="9" s="1"/>
  <c r="D32" i="9"/>
  <c r="F32" i="9" s="1"/>
  <c r="D33" i="9"/>
  <c r="F33" i="9" s="1"/>
  <c r="D34" i="9"/>
  <c r="F34" i="9" s="1"/>
  <c r="D35" i="9"/>
  <c r="F35" i="9" s="1"/>
  <c r="D36" i="9"/>
  <c r="F36" i="9" s="1"/>
  <c r="D37" i="9"/>
  <c r="F37" i="9" s="1"/>
  <c r="D38" i="9"/>
  <c r="F38" i="9" s="1"/>
  <c r="D39" i="9"/>
  <c r="F39" i="9" s="1"/>
  <c r="D40" i="9"/>
  <c r="F40" i="9" s="1"/>
  <c r="D41" i="9"/>
  <c r="F41" i="9" s="1"/>
  <c r="D42" i="9"/>
  <c r="F42" i="9" s="1"/>
  <c r="D43" i="9"/>
  <c r="F43" i="9" s="1"/>
  <c r="D44" i="9"/>
  <c r="F44" i="9" s="1"/>
  <c r="D45" i="9"/>
  <c r="F45" i="9" s="1"/>
  <c r="D46" i="9"/>
  <c r="F46" i="9" s="1"/>
  <c r="D47" i="9"/>
  <c r="F47" i="9" s="1"/>
  <c r="D48" i="9"/>
  <c r="F48" i="9" s="1"/>
  <c r="D49" i="9"/>
  <c r="F49" i="9" s="1"/>
  <c r="D50" i="9"/>
  <c r="F50" i="9" s="1"/>
  <c r="D51" i="9"/>
  <c r="F51" i="9" s="1"/>
  <c r="D52" i="9"/>
  <c r="F52" i="9" s="1"/>
  <c r="D53" i="9"/>
  <c r="F53" i="9" s="1"/>
  <c r="D54" i="9"/>
  <c r="F54" i="9" s="1"/>
  <c r="D55" i="9"/>
  <c r="F55" i="9" s="1"/>
  <c r="D56" i="9"/>
  <c r="F56" i="9" s="1"/>
  <c r="D57" i="9"/>
  <c r="F57" i="9" s="1"/>
  <c r="D58" i="9"/>
  <c r="F58" i="9" s="1"/>
  <c r="D59" i="9"/>
  <c r="F59" i="9" s="1"/>
  <c r="D60" i="9"/>
  <c r="F60" i="9" s="1"/>
  <c r="D61" i="9"/>
  <c r="F61" i="9" s="1"/>
  <c r="D62" i="9"/>
  <c r="F62" i="9" s="1"/>
  <c r="D63" i="9"/>
  <c r="F63" i="9" s="1"/>
  <c r="D64" i="9"/>
  <c r="F64" i="9" s="1"/>
  <c r="D65" i="9"/>
  <c r="F65" i="9" s="1"/>
  <c r="D66" i="9"/>
  <c r="F66" i="9" s="1"/>
  <c r="D67" i="9"/>
  <c r="F67" i="9" s="1"/>
  <c r="D68" i="9"/>
  <c r="F68" i="9" s="1"/>
  <c r="D69" i="9"/>
  <c r="F69" i="9" s="1"/>
  <c r="D70" i="9"/>
  <c r="F70" i="9" s="1"/>
  <c r="D71" i="9"/>
  <c r="F71" i="9" s="1"/>
  <c r="D72" i="9"/>
  <c r="F72" i="9" s="1"/>
  <c r="D73" i="9"/>
  <c r="F73" i="9" s="1"/>
  <c r="D74" i="9"/>
  <c r="F74" i="9" s="1"/>
  <c r="D75" i="9"/>
  <c r="F75" i="9" s="1"/>
  <c r="D76" i="9"/>
  <c r="F76" i="9" s="1"/>
  <c r="D77" i="9"/>
  <c r="F77" i="9" s="1"/>
  <c r="D78" i="9"/>
  <c r="F78" i="9" s="1"/>
  <c r="D79" i="9"/>
  <c r="F79" i="9" s="1"/>
  <c r="D80" i="9"/>
  <c r="F80" i="9" s="1"/>
  <c r="D81" i="9"/>
  <c r="F81" i="9" s="1"/>
  <c r="D5" i="9"/>
  <c r="F5" i="9" s="1"/>
  <c r="F3" i="9" l="1"/>
  <c r="I5" i="9" s="1"/>
  <c r="J5" i="9" s="1"/>
  <c r="M5" i="9" s="1"/>
  <c r="C24" i="6" s="1"/>
  <c r="J6" i="9"/>
  <c r="G28" i="6"/>
  <c r="G27" i="6"/>
  <c r="G26" i="6"/>
  <c r="G25" i="6"/>
  <c r="G24" i="6"/>
  <c r="H24" i="6" l="1"/>
  <c r="J7" i="9"/>
  <c r="M6" i="9"/>
  <c r="C25" i="6" s="1"/>
  <c r="H25" i="6" s="1"/>
  <c r="J8" i="9" l="1"/>
  <c r="M7" i="9"/>
  <c r="C26" i="6" s="1"/>
  <c r="H26" i="6" s="1"/>
  <c r="G19" i="6"/>
  <c r="H19" i="6" s="1"/>
  <c r="G18" i="6"/>
  <c r="H18" i="6" s="1"/>
  <c r="G17" i="6"/>
  <c r="H17" i="6" s="1"/>
  <c r="G16" i="6"/>
  <c r="H16" i="6" s="1"/>
  <c r="G15" i="6"/>
  <c r="H15" i="6" s="1"/>
  <c r="G10" i="6"/>
  <c r="H10" i="6" s="1"/>
  <c r="G9" i="6"/>
  <c r="H9" i="6" s="1"/>
  <c r="G8" i="6"/>
  <c r="H8" i="6" s="1"/>
  <c r="G7" i="6"/>
  <c r="H7" i="6" s="1"/>
  <c r="G6" i="6"/>
  <c r="H6" i="6" s="1"/>
  <c r="G5" i="6"/>
  <c r="H5" i="6" s="1"/>
  <c r="H11" i="6" l="1"/>
  <c r="J9" i="9"/>
  <c r="M9" i="9" s="1"/>
  <c r="C28" i="6" s="1"/>
  <c r="H28" i="6" s="1"/>
  <c r="M8" i="9"/>
  <c r="H20" i="6"/>
  <c r="M10" i="9" l="1"/>
  <c r="C27" i="6"/>
  <c r="H27" i="6" s="1"/>
  <c r="H29" i="6" s="1"/>
</calcChain>
</file>

<file path=xl/sharedStrings.xml><?xml version="1.0" encoding="utf-8"?>
<sst xmlns="http://schemas.openxmlformats.org/spreadsheetml/2006/main" count="157" uniqueCount="148">
  <si>
    <t>No.</t>
  </si>
  <si>
    <t>A.</t>
  </si>
  <si>
    <t>B.</t>
  </si>
  <si>
    <t>C.</t>
  </si>
  <si>
    <t>Berikan keputusan Bapak/Ibu dengan dukungan analisis keuangan!</t>
  </si>
  <si>
    <t>Depresiasi metode garis lurus selama 5 tahun</t>
  </si>
  <si>
    <t>Nilai jual residu (taksiran trade-in) sebesar 10% dari harga beli</t>
  </si>
  <si>
    <t>Pendapatan, jasa medis, dan BHP dianggap sama untuk tawaran leasing maupun pembelian, oleh karenanya bisa diabaikan dalam perbandingan</t>
  </si>
  <si>
    <t>Management Tools</t>
  </si>
  <si>
    <t>Tahun</t>
  </si>
  <si>
    <t>Principal Payment</t>
  </si>
  <si>
    <t>Interest Payment</t>
  </si>
  <si>
    <t>Maintenance Expense</t>
  </si>
  <si>
    <t>Total Expense</t>
  </si>
  <si>
    <t>PV Factor at 10%</t>
  </si>
  <si>
    <t>PV Expense</t>
  </si>
  <si>
    <t>Trade – in (130)</t>
  </si>
  <si>
    <t>Total</t>
  </si>
  <si>
    <t>Tawaran dengan Leasing (dalam jutaan Rupiah)</t>
  </si>
  <si>
    <t>Lease Payment</t>
  </si>
  <si>
    <t>Sedangkan kalau untuk KSO berarti pada akhir kontrak tidak ada transfer kepemilikan atas aset, sehingga sebenarnya Leasing adalah sama dengan KSO. Oleh karenanya KSO atau (Operating) Leasing lebih menguntungkan daripada Pembelian dengan didanai dengan Utang.</t>
  </si>
  <si>
    <t>JAWABAN</t>
  </si>
  <si>
    <t>© Copyright Johny Setyawan &amp; Niven A. Setyawan</t>
  </si>
  <si>
    <t>Tawaran dengan Borrow &amp; Purchase (dalam jutaan Rupiah)</t>
  </si>
  <si>
    <t>RS MIRACLES - YOGYAKARTA</t>
  </si>
  <si>
    <t>Revenue sharing antara RS dengan Pemasok Alkes lewat persentase dari tarif, dimana Tarif Pelayanan ditentukan berdasarkan kesepakatan bersama</t>
  </si>
  <si>
    <t>Sebagai Manajer Labklin yang baru, Bapak/Ibu dihadapkan pada kebutuhan untuk memperoleh Alat Analyzer Kimia yang sangat vital untuk memperlancar pelayanan. Pemasok alat Analyzer Kimia terpilih memberikan alternatif  pendanaan dengan leasing (sewa guna usaha). Berikut adalah data penawaran dari pemasok:</t>
  </si>
  <si>
    <t>Meminjam bank Senilai Rp 1,3 milyar dengan bunga 10% per tahun dengan declining balance</t>
  </si>
  <si>
    <t>Biaya pemeliharaan sebesar Rp 20 juta per tahun</t>
  </si>
  <si>
    <t>Tawaran Revenue Sharing</t>
  </si>
  <si>
    <t>SKEMA REVENUE SHARING</t>
  </si>
  <si>
    <t>Nama Pemeriksaan</t>
  </si>
  <si>
    <t>Tarif</t>
  </si>
  <si>
    <t>Porsi RS</t>
  </si>
  <si>
    <t>Total Porsi RS</t>
  </si>
  <si>
    <t>Proyeksi Total Laba Bersih Operasi</t>
  </si>
  <si>
    <t>Albumin</t>
  </si>
  <si>
    <t>Analisa Sperma</t>
  </si>
  <si>
    <t>Anti HCV</t>
  </si>
  <si>
    <t>Anti HIV</t>
  </si>
  <si>
    <t>Analisa LCS</t>
  </si>
  <si>
    <t>APTT / PTTK</t>
  </si>
  <si>
    <t>Bilirubin Direk</t>
  </si>
  <si>
    <t>Bilirubin Total</t>
  </si>
  <si>
    <t>Blood Gas Analisa (BGA)</t>
  </si>
  <si>
    <t>Cholesterol Total</t>
  </si>
  <si>
    <t>CK-MB</t>
  </si>
  <si>
    <t>Creatinin</t>
  </si>
  <si>
    <t>CRP</t>
  </si>
  <si>
    <t>Darah Lengkap</t>
  </si>
  <si>
    <t>Darah Rutin</t>
  </si>
  <si>
    <t>D-Dimmer</t>
  </si>
  <si>
    <t>Dengue Blood</t>
  </si>
  <si>
    <t>Faeces Rutin</t>
  </si>
  <si>
    <t>Feritin</t>
  </si>
  <si>
    <t>FT4</t>
  </si>
  <si>
    <t>Gambaran Darah Tepi</t>
  </si>
  <si>
    <t>Glukosa 2 jam PP</t>
  </si>
  <si>
    <t>Glukosa Puasa</t>
  </si>
  <si>
    <t>Glukosa Sewaktu</t>
  </si>
  <si>
    <t>Golongan Darah + Rhesus</t>
  </si>
  <si>
    <t>HBA1C</t>
  </si>
  <si>
    <t>HBs AG (aglutinasi)</t>
  </si>
  <si>
    <t>HDL Kolesterol</t>
  </si>
  <si>
    <t>Hitung Cel LCS</t>
  </si>
  <si>
    <t>Hs Troponin I</t>
  </si>
  <si>
    <t>IgM anti HAV</t>
  </si>
  <si>
    <t>IgM Salmonella</t>
  </si>
  <si>
    <t>INR</t>
  </si>
  <si>
    <t>Kalium</t>
  </si>
  <si>
    <t>Kalsium</t>
  </si>
  <si>
    <t>Laju Endap Darah</t>
  </si>
  <si>
    <t>LDL Kolestrol</t>
  </si>
  <si>
    <t>Leptospira</t>
  </si>
  <si>
    <t>Micro Albumin</t>
  </si>
  <si>
    <t>Natrium</t>
  </si>
  <si>
    <t>NT pro BNP</t>
  </si>
  <si>
    <t>Narkoba 7 parameter</t>
  </si>
  <si>
    <t>Pembacaan BMP</t>
  </si>
  <si>
    <t>PPT / PT</t>
  </si>
  <si>
    <t>Prokalsitonin</t>
  </si>
  <si>
    <t>Protein Total</t>
  </si>
  <si>
    <t>Serum Besi</t>
  </si>
  <si>
    <t>SGOT / AST</t>
  </si>
  <si>
    <t>SGPT / ALT</t>
  </si>
  <si>
    <t>Test Kehamilan</t>
  </si>
  <si>
    <t>Triglyserida</t>
  </si>
  <si>
    <t>TSHs</t>
  </si>
  <si>
    <t>Urea / BUN (Blood Ureum Nitrogrn)</t>
  </si>
  <si>
    <t>Uric Acid</t>
  </si>
  <si>
    <t>Urine Lengkap</t>
  </si>
  <si>
    <t>Urine Rutin</t>
  </si>
  <si>
    <t>Widal H danO</t>
  </si>
  <si>
    <t>Kultur sensitivitas test darah 1 botol</t>
  </si>
  <si>
    <t>Kultur sensitivitas test darah 2 botol</t>
  </si>
  <si>
    <t>Kultur sensitivitas feses</t>
  </si>
  <si>
    <t>Kultur sensitivitas jaringan</t>
  </si>
  <si>
    <t>Kultur sensitivitas cairan LCS</t>
  </si>
  <si>
    <t>Kultur sensitivitas cairan pleura</t>
  </si>
  <si>
    <t>Kultur sensitivitas pus</t>
  </si>
  <si>
    <t>Kultur sensitivitas sputum / kultur ET</t>
  </si>
  <si>
    <t>Kultur sensitivitas swab tenggorok</t>
  </si>
  <si>
    <t>Kultur sensitivitas urine</t>
  </si>
  <si>
    <t>Kultur sensitivitas cairan bronkus</t>
  </si>
  <si>
    <t>Kultur sensitivitas swab luka</t>
  </si>
  <si>
    <t>Kultur sensitivitas sekret vagina / urethra</t>
  </si>
  <si>
    <t>Difteri Neisser</t>
  </si>
  <si>
    <t>Pengecatan BTA</t>
  </si>
  <si>
    <t>BTA Reitz Serum</t>
  </si>
  <si>
    <t>Pewarnaan Gram</t>
  </si>
  <si>
    <t>Histopatologi</t>
  </si>
  <si>
    <t>Sitopatologi</t>
  </si>
  <si>
    <t>Imunohistokimia</t>
  </si>
  <si>
    <t>Proyeksi Vol Setahun</t>
  </si>
  <si>
    <t>Tahun Ke - 1</t>
  </si>
  <si>
    <t>Tahun Ke - 2</t>
  </si>
  <si>
    <t>Tahun Ke - 3</t>
  </si>
  <si>
    <t>Tahun Ke - 4</t>
  </si>
  <si>
    <t>Tahun Ke - 5</t>
  </si>
  <si>
    <t>Proyeksi Total Laba Bersih Setelah Pajak (EAT)</t>
  </si>
  <si>
    <t>EAT Growth Rate</t>
  </si>
  <si>
    <t>PV of Proceeds at 10%</t>
  </si>
  <si>
    <t>TOTAL PV PROCEEDS</t>
  </si>
  <si>
    <t>Alternatif Penawaran Capex</t>
  </si>
  <si>
    <t>Skema Revenue Sharing</t>
  </si>
  <si>
    <t>ANALISIS KEPUTUSAN CAPEX - ALKES LABKLIN</t>
  </si>
  <si>
    <t>34 orang personel Labklin (3 shift) dengan Gaji per bulan Rp 4 juta selama setahun</t>
  </si>
  <si>
    <t>A</t>
  </si>
  <si>
    <t>B</t>
  </si>
  <si>
    <t>C</t>
  </si>
  <si>
    <t>D</t>
  </si>
  <si>
    <t>D = A - B - C</t>
  </si>
  <si>
    <t>Pembayaran leasing sebesar Rp 280 juta per bulan selama 60 bulan (termasuk biaya pemeliharaan)</t>
  </si>
  <si>
    <t>Porsi untuk RS = 15% dari Tarif</t>
  </si>
  <si>
    <t>Porsi untuk Pemasok = 85% dari Tarif</t>
  </si>
  <si>
    <t>PROYEKSI NEGATIVE EAT</t>
  </si>
  <si>
    <t>A. Tawaran dengan Leasing</t>
  </si>
  <si>
    <t>B. Tawaran dengan Pembelian</t>
  </si>
  <si>
    <t>C. Tawaran dgn Revenue Sharing per Pelayanan</t>
  </si>
  <si>
    <t>ALTERNATIF TAWARAN</t>
  </si>
  <si>
    <t>Pembebanan biaya overhead (joint overhead costs) bersama dari unit-unit non pelayanan dengan dasar alokasi (daya serap)</t>
  </si>
  <si>
    <t>Proyeksi BO (Biaya Overhead) Langsung Setahun</t>
  </si>
  <si>
    <t>Proyeksi BO (Biaya Overhead) Alokasian Setahun</t>
  </si>
  <si>
    <t>Karena total PV Expense dari Leasing lebih kecil dari total PV Expense dari Pembelian; maka keputusan yang paling tepat adalah menggunakan tawaran LEASING.</t>
  </si>
  <si>
    <t>KESIMPULAN:</t>
  </si>
  <si>
    <t>Sedangkan untuk tawaran Revenue Sharing ternyata besarnya Biaya Overhead (Langsung dan Alokasian) telah menghabiskan akumulasi marjin tahunan sehingga hasil porsi 15% yang diperoleh RS tidak mencukupi, dan menyebabkan Negative EAT (Negative Earning After Tax) yang setelah di-nilai-tunai-kan (present value) justru menghasilkan PV Expense yang tertinggi dari ketiga tawaran yang ada.</t>
  </si>
  <si>
    <t>Akurasi analisis keputusan investasi ini dapat ditingkatkan dengan menggunakan analisis berbasis produk yang lebih rinci.</t>
  </si>
  <si>
    <t>Answer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</si>
</sst>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70" formatCode="_(* #,##0_);_(* \(#,##0\);_(* &quot;-&quot;??_);_(@_)"/>
    <numFmt numFmtId="172" formatCode="_(&quot;Rp&quot;\ * #,##0_);_(&quot;Rp&quot;\ * \(#,##0\);_(&quot;Rp&quot;\ * &quot;-&quot;_);_(@_)"/>
    <numFmt numFmtId="173" formatCode="0.0000000"/>
  </numFmts>
  <fonts count="41" x14ac:knownFonts="1">
    <font>
      <sz val="11"/>
      <color theme="1"/>
      <name val="Calibri"/>
      <family val="2"/>
      <scheme val="minor"/>
    </font>
    <font>
      <sz val="11"/>
      <color theme="1"/>
      <name val="Calibri"/>
      <family val="2"/>
      <scheme val="minor"/>
    </font>
    <font>
      <u/>
      <sz val="12"/>
      <color theme="10"/>
      <name val="Calibri"/>
      <family val="2"/>
      <scheme val="minor"/>
    </font>
    <font>
      <b/>
      <u/>
      <sz val="12"/>
      <color theme="1"/>
      <name val="Calibri"/>
      <family val="2"/>
      <scheme val="minor"/>
    </font>
    <font>
      <b/>
      <sz val="14"/>
      <color theme="1"/>
      <name val="Calibri"/>
      <family val="2"/>
      <scheme val="minor"/>
    </font>
    <font>
      <sz val="14"/>
      <color theme="1"/>
      <name val="Calibri"/>
      <family val="2"/>
      <scheme val="minor"/>
    </font>
    <font>
      <sz val="12"/>
      <color theme="1"/>
      <name val="Calibri"/>
      <family val="2"/>
      <scheme val="minor"/>
    </font>
    <font>
      <sz val="14"/>
      <color theme="1"/>
      <name val="Berlin Sans FB"/>
      <family val="2"/>
    </font>
    <font>
      <sz val="14"/>
      <color theme="8" tint="0.79998168889431442"/>
      <name val="Calibri"/>
      <family val="2"/>
      <scheme val="minor"/>
    </font>
    <font>
      <sz val="11"/>
      <color rgb="FF0000FF"/>
      <name val="Calibri"/>
      <family val="2"/>
      <scheme val="minor"/>
    </font>
    <font>
      <sz val="11"/>
      <color theme="1"/>
      <name val="Berlin Sans FB"/>
      <family val="2"/>
    </font>
    <font>
      <sz val="12"/>
      <color theme="1"/>
      <name val="Berlin Sans FB"/>
      <family val="2"/>
    </font>
    <font>
      <sz val="12"/>
      <color rgb="FF0000FF"/>
      <name val="Berlin Sans FB"/>
      <family val="2"/>
    </font>
    <font>
      <sz val="16"/>
      <color rgb="FFFF0000"/>
      <name val="Berlin Sans FB Demi"/>
      <family val="2"/>
    </font>
    <font>
      <sz val="12"/>
      <color rgb="FFFF00FF"/>
      <name val="Berlin Sans FB"/>
      <family val="2"/>
    </font>
    <font>
      <sz val="12"/>
      <color theme="1"/>
      <name val="Tahoma"/>
      <family val="2"/>
    </font>
    <font>
      <sz val="12"/>
      <color rgb="FF0000FF"/>
      <name val="Tahoma"/>
      <family val="2"/>
    </font>
    <font>
      <sz val="14"/>
      <color rgb="FF0066FF"/>
      <name val="Berlin Sans FB"/>
      <family val="2"/>
    </font>
    <font>
      <sz val="48"/>
      <color rgb="FF33CC33"/>
      <name val="Berlin Sans FB Demi"/>
      <family val="2"/>
    </font>
    <font>
      <u/>
      <sz val="16"/>
      <color rgb="FF0066FF"/>
      <name val="Berlin Sans FB Demi"/>
      <family val="2"/>
    </font>
    <font>
      <sz val="18"/>
      <color rgb="FFCC00CC"/>
      <name val="Berlin Sans FB Demi"/>
      <family val="2"/>
    </font>
    <font>
      <sz val="14"/>
      <color rgb="FFE200E2"/>
      <name val="Berlin Sans FB"/>
      <family val="2"/>
    </font>
    <font>
      <sz val="28"/>
      <color rgb="FF9933FF"/>
      <name val="Berlin Sans FB Demi"/>
      <family val="2"/>
    </font>
    <font>
      <sz val="8"/>
      <name val="Calibri"/>
      <family val="2"/>
      <scheme val="minor"/>
    </font>
    <font>
      <sz val="14"/>
      <color rgb="FFCC00CC"/>
      <name val="Berlin Sans FB"/>
      <family val="2"/>
    </font>
    <font>
      <sz val="12"/>
      <color rgb="FF0066FF"/>
      <name val="Arial"/>
      <family val="2"/>
    </font>
    <font>
      <sz val="12"/>
      <color theme="1"/>
      <name val="Arial"/>
      <family val="2"/>
    </font>
    <font>
      <b/>
      <sz val="12"/>
      <color rgb="FFFF0000"/>
      <name val="Arial"/>
      <family val="2"/>
    </font>
    <font>
      <b/>
      <sz val="12"/>
      <color theme="1"/>
      <name val="Arial"/>
      <family val="2"/>
    </font>
    <font>
      <sz val="16"/>
      <color rgb="FF0066FF"/>
      <name val="Berlin Sans FB Demi"/>
      <family val="2"/>
    </font>
    <font>
      <sz val="12"/>
      <color rgb="FF0066FF"/>
      <name val="Bookman Old Style"/>
      <family val="1"/>
    </font>
    <font>
      <sz val="26"/>
      <color rgb="FF009900"/>
      <name val="Berlin Sans FB Demi"/>
      <family val="2"/>
    </font>
    <font>
      <b/>
      <sz val="10"/>
      <color rgb="FFFF0000"/>
      <name val="Arial"/>
      <family val="2"/>
    </font>
    <font>
      <sz val="12"/>
      <color rgb="FF0000FF"/>
      <name val="Arial"/>
      <family val="2"/>
    </font>
    <font>
      <b/>
      <sz val="36"/>
      <color rgb="FF009900"/>
      <name val="Mistral"/>
      <family val="4"/>
    </font>
    <font>
      <sz val="12"/>
      <color rgb="FF009900"/>
      <name val="Arial"/>
      <family val="2"/>
    </font>
    <font>
      <b/>
      <sz val="14"/>
      <color rgb="FFFF00FF"/>
      <name val="Arial"/>
      <family val="2"/>
    </font>
    <font>
      <b/>
      <sz val="12"/>
      <color rgb="FFFF00FF"/>
      <name val="Arial"/>
      <family val="2"/>
    </font>
    <font>
      <sz val="10"/>
      <color theme="1"/>
      <name val="Tahoma"/>
      <family val="2"/>
    </font>
    <font>
      <sz val="16"/>
      <color rgb="FFFF00FF"/>
      <name val="Berlin Sans FB"/>
      <family val="2"/>
    </font>
    <font>
      <sz val="18"/>
      <color rgb="FFFF00FF"/>
      <name val="Berlin Sans FB Demi"/>
      <family val="2"/>
    </font>
  </fonts>
  <fills count="13">
    <fill>
      <patternFill patternType="none"/>
    </fill>
    <fill>
      <patternFill patternType="gray125"/>
    </fill>
    <fill>
      <patternFill patternType="solid">
        <fgColor rgb="FFFFFF00"/>
        <bgColor indexed="64"/>
      </patternFill>
    </fill>
    <fill>
      <patternFill patternType="solid">
        <fgColor theme="8" tint="0.79998168889431442"/>
        <bgColor indexed="64"/>
      </patternFill>
    </fill>
    <fill>
      <patternFill patternType="solid">
        <fgColor theme="0"/>
        <bgColor indexed="64"/>
      </patternFill>
    </fill>
    <fill>
      <patternFill patternType="solid">
        <fgColor rgb="FFFFFF99"/>
        <bgColor indexed="64"/>
      </patternFill>
    </fill>
    <fill>
      <patternFill patternType="solid">
        <fgColor rgb="FFDEFFBD"/>
        <bgColor indexed="64"/>
      </patternFill>
    </fill>
    <fill>
      <patternFill patternType="solid">
        <fgColor rgb="FFFFE1FF"/>
        <bgColor indexed="64"/>
      </patternFill>
    </fill>
    <fill>
      <patternFill patternType="solid">
        <fgColor rgb="FFEAFFAF"/>
        <bgColor indexed="64"/>
      </patternFill>
    </fill>
    <fill>
      <patternFill patternType="solid">
        <fgColor rgb="FFDEFF81"/>
        <bgColor indexed="64"/>
      </patternFill>
    </fill>
    <fill>
      <patternFill patternType="solid">
        <fgColor rgb="FFFFFF66"/>
        <bgColor indexed="64"/>
      </patternFill>
    </fill>
    <fill>
      <patternFill patternType="solid">
        <fgColor rgb="FFB7FFFF"/>
        <bgColor indexed="64"/>
      </patternFill>
    </fill>
    <fill>
      <patternFill patternType="solid">
        <fgColor rgb="FFFFDB69"/>
        <bgColor indexed="64"/>
      </patternFill>
    </fill>
  </fills>
  <borders count="38">
    <border>
      <left/>
      <right/>
      <top/>
      <bottom/>
      <diagonal/>
    </border>
    <border>
      <left style="medium">
        <color indexed="64"/>
      </left>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right style="medium">
        <color indexed="64"/>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thin">
        <color indexed="64"/>
      </top>
      <bottom/>
      <diagonal/>
    </border>
    <border>
      <left style="medium">
        <color indexed="64"/>
      </left>
      <right style="medium">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style="medium">
        <color indexed="64"/>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s>
  <cellStyleXfs count="4">
    <xf numFmtId="0" fontId="0" fillId="0" borderId="0"/>
    <xf numFmtId="43" fontId="1" fillId="0" borderId="0" applyFont="0" applyFill="0" applyBorder="0" applyAlignment="0" applyProtection="0"/>
    <xf numFmtId="0" fontId="2" fillId="0" borderId="0" applyNumberFormat="0" applyFill="0" applyBorder="0" applyAlignment="0" applyProtection="0"/>
    <xf numFmtId="9" fontId="1" fillId="0" borderId="0" applyFont="0" applyFill="0" applyBorder="0" applyAlignment="0" applyProtection="0"/>
  </cellStyleXfs>
  <cellXfs count="158">
    <xf numFmtId="0" fontId="0" fillId="0" borderId="0" xfId="0"/>
    <xf numFmtId="0" fontId="0" fillId="0" borderId="0" xfId="0" applyAlignment="1">
      <alignment vertical="center"/>
    </xf>
    <xf numFmtId="0" fontId="10" fillId="0" borderId="0" xfId="0" applyFont="1" applyAlignment="1">
      <alignment vertical="center"/>
    </xf>
    <xf numFmtId="0" fontId="10" fillId="0" borderId="0" xfId="0" applyFont="1"/>
    <xf numFmtId="0" fontId="11" fillId="0" borderId="0" xfId="0" applyFont="1" applyAlignment="1">
      <alignment vertical="center"/>
    </xf>
    <xf numFmtId="0" fontId="13" fillId="0" borderId="0" xfId="0" applyFont="1"/>
    <xf numFmtId="0" fontId="16" fillId="0" borderId="7" xfId="0" applyFont="1" applyBorder="1" applyAlignment="1">
      <alignment horizontal="center" vertical="center" wrapText="1"/>
    </xf>
    <xf numFmtId="0" fontId="16" fillId="0" borderId="7" xfId="0" applyFont="1" applyBorder="1" applyAlignment="1">
      <alignment horizontal="right" vertical="center" wrapText="1"/>
    </xf>
    <xf numFmtId="2" fontId="16" fillId="0" borderId="7" xfId="0" applyNumberFormat="1" applyFont="1" applyBorder="1" applyAlignment="1">
      <alignment horizontal="right" vertical="center" wrapText="1"/>
    </xf>
    <xf numFmtId="0" fontId="6" fillId="0" borderId="0" xfId="0" applyFont="1"/>
    <xf numFmtId="0" fontId="15" fillId="3" borderId="7" xfId="0" applyFont="1" applyFill="1" applyBorder="1" applyAlignment="1">
      <alignment horizontal="center" vertical="center" wrapText="1"/>
    </xf>
    <xf numFmtId="0" fontId="12" fillId="0" borderId="16" xfId="0" applyFont="1" applyBorder="1" applyAlignment="1">
      <alignment horizontal="center" vertical="center" wrapText="1"/>
    </xf>
    <xf numFmtId="0" fontId="12" fillId="0" borderId="23" xfId="0" applyFont="1" applyBorder="1" applyAlignment="1">
      <alignment horizontal="center" vertical="center" wrapText="1"/>
    </xf>
    <xf numFmtId="0" fontId="19" fillId="0" borderId="29" xfId="2" applyFont="1" applyFill="1" applyBorder="1" applyAlignment="1" applyProtection="1">
      <alignment vertical="center"/>
    </xf>
    <xf numFmtId="0" fontId="16" fillId="8" borderId="7" xfId="0" applyFont="1" applyFill="1" applyBorder="1" applyAlignment="1">
      <alignment horizontal="right" vertical="center" wrapText="1"/>
    </xf>
    <xf numFmtId="2" fontId="16" fillId="8" borderId="7" xfId="0" applyNumberFormat="1" applyFont="1" applyFill="1" applyBorder="1" applyAlignment="1">
      <alignment horizontal="right" vertical="center" wrapText="1"/>
    </xf>
    <xf numFmtId="0" fontId="16" fillId="3" borderId="7" xfId="0" applyFont="1" applyFill="1" applyBorder="1" applyAlignment="1">
      <alignment horizontal="right" vertical="center" wrapText="1"/>
    </xf>
    <xf numFmtId="2" fontId="16" fillId="3" borderId="7" xfId="0" applyNumberFormat="1" applyFont="1" applyFill="1" applyBorder="1" applyAlignment="1">
      <alignment horizontal="right" vertical="center" wrapText="1"/>
    </xf>
    <xf numFmtId="0" fontId="12" fillId="0" borderId="21" xfId="0"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6" fillId="0" borderId="0" xfId="0" applyFont="1" applyAlignment="1" applyProtection="1">
      <alignment vertical="center"/>
      <protection locked="0"/>
    </xf>
    <xf numFmtId="0" fontId="24" fillId="9" borderId="15" xfId="0" applyFont="1" applyFill="1" applyBorder="1" applyAlignment="1">
      <alignment horizontal="center" vertical="center" wrapText="1"/>
    </xf>
    <xf numFmtId="0" fontId="24" fillId="9" borderId="11" xfId="0" applyFont="1" applyFill="1" applyBorder="1" applyAlignment="1">
      <alignment horizontal="center" vertical="center" wrapText="1"/>
    </xf>
    <xf numFmtId="0" fontId="24" fillId="9" borderId="15" xfId="0" applyFont="1" applyFill="1" applyBorder="1" applyAlignment="1">
      <alignment horizontal="center" vertical="center"/>
    </xf>
    <xf numFmtId="0" fontId="15" fillId="9" borderId="7" xfId="0" applyFont="1" applyFill="1" applyBorder="1" applyAlignment="1">
      <alignment horizontal="center" vertical="center" wrapText="1"/>
    </xf>
    <xf numFmtId="0" fontId="15" fillId="10" borderId="7" xfId="0" applyFont="1" applyFill="1" applyBorder="1" applyAlignment="1">
      <alignment horizontal="center" vertical="center" wrapText="1"/>
    </xf>
    <xf numFmtId="0" fontId="26" fillId="0" borderId="0" xfId="0" applyFont="1"/>
    <xf numFmtId="0" fontId="29" fillId="0" borderId="0" xfId="0" applyFont="1"/>
    <xf numFmtId="172" fontId="26" fillId="2" borderId="7" xfId="0" applyNumberFormat="1" applyFont="1" applyFill="1" applyBorder="1" applyAlignment="1">
      <alignment vertical="center"/>
    </xf>
    <xf numFmtId="172" fontId="26" fillId="9" borderId="6" xfId="1" applyNumberFormat="1" applyFont="1" applyFill="1" applyBorder="1" applyAlignment="1" applyProtection="1">
      <alignment vertical="center"/>
      <protection locked="0"/>
    </xf>
    <xf numFmtId="172" fontId="26" fillId="11" borderId="6" xfId="1" applyNumberFormat="1" applyFont="1" applyFill="1" applyBorder="1" applyAlignment="1" applyProtection="1">
      <alignment vertical="center"/>
      <protection locked="0"/>
    </xf>
    <xf numFmtId="0" fontId="26" fillId="0" borderId="15" xfId="0" applyFont="1" applyBorder="1" applyAlignment="1">
      <alignment horizontal="center" vertical="center"/>
    </xf>
    <xf numFmtId="10" fontId="27" fillId="0" borderId="15" xfId="3" applyNumberFormat="1" applyFont="1" applyBorder="1" applyAlignment="1">
      <alignment horizontal="center" vertical="center"/>
    </xf>
    <xf numFmtId="10" fontId="27" fillId="0" borderId="19" xfId="3" applyNumberFormat="1" applyFont="1" applyBorder="1" applyAlignment="1">
      <alignment horizontal="center" vertical="center"/>
    </xf>
    <xf numFmtId="0" fontId="26" fillId="0" borderId="35" xfId="0" applyFont="1" applyBorder="1" applyAlignment="1">
      <alignment horizontal="center" vertical="center"/>
    </xf>
    <xf numFmtId="0" fontId="25" fillId="0" borderId="6" xfId="0" applyFont="1" applyBorder="1" applyAlignment="1">
      <alignment horizontal="center" vertical="center"/>
    </xf>
    <xf numFmtId="0" fontId="30" fillId="0" borderId="6" xfId="0" applyFont="1" applyBorder="1" applyAlignment="1">
      <alignment vertical="center"/>
    </xf>
    <xf numFmtId="172" fontId="25" fillId="0" borderId="6" xfId="1" applyNumberFormat="1" applyFont="1" applyBorder="1" applyAlignment="1" applyProtection="1">
      <alignment vertical="center"/>
      <protection locked="0"/>
    </xf>
    <xf numFmtId="170" fontId="25" fillId="0" borderId="6" xfId="1" applyNumberFormat="1" applyFont="1" applyBorder="1" applyAlignment="1">
      <alignment vertical="center"/>
    </xf>
    <xf numFmtId="0" fontId="25" fillId="0" borderId="7" xfId="0" applyFont="1" applyBorder="1" applyAlignment="1">
      <alignment horizontal="center" vertical="center"/>
    </xf>
    <xf numFmtId="172" fontId="25" fillId="0" borderId="7" xfId="1" applyNumberFormat="1" applyFont="1" applyBorder="1" applyAlignment="1" applyProtection="1">
      <alignment vertical="center"/>
      <protection locked="0"/>
    </xf>
    <xf numFmtId="170" fontId="25" fillId="0" borderId="7" xfId="1" applyNumberFormat="1" applyFont="1" applyBorder="1" applyAlignment="1">
      <alignment vertical="center"/>
    </xf>
    <xf numFmtId="0" fontId="30" fillId="0" borderId="6" xfId="0" applyFont="1" applyBorder="1" applyAlignment="1">
      <alignment vertical="center" wrapText="1"/>
    </xf>
    <xf numFmtId="172" fontId="26" fillId="2" borderId="6" xfId="0" applyNumberFormat="1" applyFont="1" applyFill="1" applyBorder="1" applyAlignment="1">
      <alignment vertical="center"/>
    </xf>
    <xf numFmtId="0" fontId="25" fillId="0" borderId="7" xfId="0" applyFont="1" applyBorder="1" applyAlignment="1">
      <alignment vertical="center"/>
    </xf>
    <xf numFmtId="0" fontId="32" fillId="0" borderId="15" xfId="0" applyFont="1" applyBorder="1" applyAlignment="1">
      <alignment horizontal="center" vertical="center" wrapText="1"/>
    </xf>
    <xf numFmtId="0" fontId="25" fillId="0" borderId="6" xfId="0" applyFont="1" applyBorder="1" applyAlignment="1">
      <alignment vertical="center"/>
    </xf>
    <xf numFmtId="173" fontId="33" fillId="0" borderId="6" xfId="0" applyNumberFormat="1" applyFont="1" applyBorder="1" applyAlignment="1">
      <alignment horizontal="right" vertical="center" wrapText="1"/>
    </xf>
    <xf numFmtId="172" fontId="26" fillId="0" borderId="6" xfId="0" applyNumberFormat="1" applyFont="1" applyBorder="1" applyAlignment="1">
      <alignment vertical="center"/>
    </xf>
    <xf numFmtId="172" fontId="28" fillId="0" borderId="0" xfId="0" applyNumberFormat="1" applyFont="1" applyAlignment="1">
      <alignment vertical="center"/>
    </xf>
    <xf numFmtId="172" fontId="26" fillId="2" borderId="17" xfId="0" applyNumberFormat="1" applyFont="1" applyFill="1" applyBorder="1" applyAlignment="1">
      <alignment vertical="center"/>
    </xf>
    <xf numFmtId="172" fontId="26" fillId="12" borderId="24" xfId="0" applyNumberFormat="1" applyFont="1" applyFill="1" applyBorder="1" applyAlignment="1">
      <alignment vertical="center"/>
    </xf>
    <xf numFmtId="0" fontId="3" fillId="0" borderId="1" xfId="2" quotePrefix="1" applyFont="1" applyFill="1" applyBorder="1" applyAlignment="1" applyProtection="1">
      <alignment horizontal="center" vertical="center"/>
    </xf>
    <xf numFmtId="0" fontId="3" fillId="0" borderId="20" xfId="2" quotePrefix="1" applyFont="1" applyFill="1" applyBorder="1" applyAlignment="1" applyProtection="1">
      <alignment horizontal="center" vertical="center"/>
    </xf>
    <xf numFmtId="0" fontId="2" fillId="3" borderId="9" xfId="2" applyFill="1" applyBorder="1" applyAlignment="1" applyProtection="1">
      <alignment horizontal="center" vertical="center"/>
    </xf>
    <xf numFmtId="0" fontId="2" fillId="3" borderId="1" xfId="2" applyFill="1" applyBorder="1" applyAlignment="1" applyProtection="1">
      <alignment horizontal="center" vertical="center"/>
    </xf>
    <xf numFmtId="0" fontId="2" fillId="3" borderId="12" xfId="2" applyFill="1" applyBorder="1" applyAlignment="1" applyProtection="1">
      <alignment horizontal="center" vertical="center"/>
    </xf>
    <xf numFmtId="0" fontId="2" fillId="3" borderId="11" xfId="2" applyFill="1" applyBorder="1" applyAlignment="1" applyProtection="1">
      <alignment horizontal="center" vertical="center"/>
    </xf>
    <xf numFmtId="0" fontId="2" fillId="3" borderId="20" xfId="2" applyFill="1" applyBorder="1" applyAlignment="1" applyProtection="1">
      <alignment horizontal="center" vertical="center"/>
    </xf>
    <xf numFmtId="0" fontId="2" fillId="3" borderId="14" xfId="2" applyFill="1" applyBorder="1" applyAlignment="1" applyProtection="1">
      <alignment horizontal="center" vertical="center"/>
    </xf>
    <xf numFmtId="0" fontId="18" fillId="0" borderId="9" xfId="0" applyFont="1" applyBorder="1" applyAlignment="1" applyProtection="1">
      <alignment horizontal="center" vertical="center"/>
      <protection locked="0"/>
    </xf>
    <xf numFmtId="0" fontId="18" fillId="0" borderId="10" xfId="0" applyFont="1" applyBorder="1" applyAlignment="1" applyProtection="1">
      <alignment horizontal="center" vertical="center"/>
      <protection locked="0"/>
    </xf>
    <xf numFmtId="0" fontId="18" fillId="0" borderId="11" xfId="0" applyFont="1" applyBorder="1" applyAlignment="1" applyProtection="1">
      <alignment horizontal="center" vertical="center"/>
      <protection locked="0"/>
    </xf>
    <xf numFmtId="0" fontId="18" fillId="0" borderId="12" xfId="0" applyFont="1" applyBorder="1" applyAlignment="1" applyProtection="1">
      <alignment horizontal="center" vertical="center"/>
      <protection locked="0"/>
    </xf>
    <xf numFmtId="0" fontId="18" fillId="0" borderId="13" xfId="0" applyFont="1" applyBorder="1" applyAlignment="1" applyProtection="1">
      <alignment horizontal="center" vertical="center"/>
      <protection locked="0"/>
    </xf>
    <xf numFmtId="0" fontId="18" fillId="0" borderId="14" xfId="0" applyFont="1" applyBorder="1" applyAlignment="1" applyProtection="1">
      <alignment horizontal="center" vertical="center"/>
      <protection locked="0"/>
    </xf>
    <xf numFmtId="0" fontId="14" fillId="3" borderId="12" xfId="2" applyFont="1" applyFill="1" applyBorder="1" applyAlignment="1" applyProtection="1">
      <alignment horizontal="center" vertical="center"/>
    </xf>
    <xf numFmtId="0" fontId="14" fillId="3" borderId="14" xfId="2" applyFont="1" applyFill="1" applyBorder="1" applyAlignment="1" applyProtection="1">
      <alignment horizontal="center" vertical="center"/>
    </xf>
    <xf numFmtId="0" fontId="12" fillId="0" borderId="9"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2" xfId="0" applyFont="1" applyBorder="1" applyAlignment="1">
      <alignment horizontal="center" vertical="center" wrapText="1"/>
    </xf>
    <xf numFmtId="0" fontId="12" fillId="0" borderId="17" xfId="0" applyFont="1" applyBorder="1" applyAlignment="1">
      <alignment horizontal="center" vertical="center" wrapText="1"/>
    </xf>
    <xf numFmtId="0" fontId="12" fillId="0" borderId="14" xfId="0" applyFont="1" applyBorder="1" applyAlignment="1">
      <alignment horizontal="center" vertical="center" wrapText="1"/>
    </xf>
    <xf numFmtId="0" fontId="12" fillId="0" borderId="19" xfId="0" applyFont="1" applyBorder="1" applyAlignment="1">
      <alignment horizontal="center" vertical="center" wrapText="1"/>
    </xf>
    <xf numFmtId="0" fontId="12" fillId="0" borderId="16" xfId="0" applyFont="1" applyBorder="1" applyAlignment="1">
      <alignment horizontal="center" vertical="center" wrapText="1"/>
    </xf>
    <xf numFmtId="0" fontId="11" fillId="0" borderId="0" xfId="0" applyFont="1" applyAlignment="1">
      <alignment horizontal="center" vertical="center" wrapText="1"/>
    </xf>
    <xf numFmtId="0" fontId="31" fillId="0" borderId="0" xfId="0" applyFont="1" applyAlignment="1">
      <alignment horizontal="left" vertical="top"/>
    </xf>
    <xf numFmtId="0" fontId="26" fillId="9" borderId="19" xfId="0" applyFont="1" applyFill="1" applyBorder="1" applyAlignment="1">
      <alignment horizontal="center" vertical="center" wrapText="1"/>
    </xf>
    <xf numFmtId="0" fontId="26" fillId="9" borderId="23" xfId="0" applyFont="1" applyFill="1" applyBorder="1" applyAlignment="1">
      <alignment horizontal="center" vertical="center" wrapText="1"/>
    </xf>
    <xf numFmtId="0" fontId="26" fillId="3" borderId="19" xfId="0" applyFont="1" applyFill="1" applyBorder="1" applyAlignment="1">
      <alignment horizontal="center" vertical="center" wrapText="1"/>
    </xf>
    <xf numFmtId="0" fontId="26" fillId="3" borderId="23" xfId="0" applyFont="1" applyFill="1" applyBorder="1" applyAlignment="1">
      <alignment horizontal="center" vertical="center" wrapText="1"/>
    </xf>
    <xf numFmtId="0" fontId="28" fillId="0" borderId="31" xfId="0" applyFont="1" applyBorder="1" applyAlignment="1">
      <alignment horizontal="right" vertical="center"/>
    </xf>
    <xf numFmtId="0" fontId="26" fillId="0" borderId="19" xfId="0" applyFont="1" applyBorder="1" applyAlignment="1">
      <alignment horizontal="center" vertical="center" wrapText="1"/>
    </xf>
    <xf numFmtId="0" fontId="26" fillId="0" borderId="23" xfId="0" applyFont="1" applyBorder="1" applyAlignment="1">
      <alignment horizontal="center" vertical="center" wrapText="1"/>
    </xf>
    <xf numFmtId="0" fontId="26" fillId="0" borderId="36" xfId="0" applyFont="1" applyBorder="1" applyAlignment="1">
      <alignment horizontal="center" vertical="center" wrapText="1"/>
    </xf>
    <xf numFmtId="0" fontId="26" fillId="0" borderId="37" xfId="0" applyFont="1" applyBorder="1" applyAlignment="1">
      <alignment horizontal="center" vertical="center" wrapText="1"/>
    </xf>
    <xf numFmtId="0" fontId="26" fillId="0" borderId="21" xfId="0" applyFont="1" applyBorder="1" applyAlignment="1">
      <alignment horizontal="center" vertical="center" wrapText="1"/>
    </xf>
    <xf numFmtId="0" fontId="26" fillId="0" borderId="27" xfId="0" applyFont="1" applyBorder="1" applyAlignment="1">
      <alignment horizontal="center" vertical="center" wrapText="1"/>
    </xf>
    <xf numFmtId="0" fontId="21" fillId="0" borderId="0" xfId="0" applyFont="1" applyAlignment="1">
      <alignment horizontal="left" vertical="center"/>
    </xf>
    <xf numFmtId="0" fontId="16" fillId="0" borderId="7" xfId="0" applyFont="1" applyBorder="1" applyAlignment="1">
      <alignment vertical="center" wrapText="1"/>
    </xf>
    <xf numFmtId="0" fontId="16" fillId="0" borderId="7" xfId="0" applyFont="1" applyBorder="1" applyAlignment="1">
      <alignment horizontal="right" vertical="center" wrapText="1"/>
    </xf>
    <xf numFmtId="0" fontId="15" fillId="9" borderId="5" xfId="0" applyFont="1" applyFill="1" applyBorder="1" applyAlignment="1">
      <alignment horizontal="center" vertical="center" wrapText="1"/>
    </xf>
    <xf numFmtId="0" fontId="15" fillId="9" borderId="2" xfId="0" applyFont="1" applyFill="1" applyBorder="1" applyAlignment="1">
      <alignment horizontal="center" vertical="center" wrapText="1"/>
    </xf>
    <xf numFmtId="0" fontId="15" fillId="9" borderId="3" xfId="0" applyFont="1" applyFill="1" applyBorder="1" applyAlignment="1">
      <alignment horizontal="center" vertical="center" wrapText="1"/>
    </xf>
    <xf numFmtId="0" fontId="16" fillId="0" borderId="30" xfId="0" applyFont="1" applyBorder="1" applyAlignment="1">
      <alignment horizontal="center" vertical="center" wrapText="1"/>
    </xf>
    <xf numFmtId="0" fontId="16" fillId="0" borderId="31" xfId="0" applyFont="1" applyBorder="1" applyAlignment="1">
      <alignment horizontal="center" vertical="center" wrapText="1"/>
    </xf>
    <xf numFmtId="0" fontId="16" fillId="0" borderId="32" xfId="0" applyFont="1" applyBorder="1" applyAlignment="1">
      <alignment horizontal="center" vertical="center" wrapText="1"/>
    </xf>
    <xf numFmtId="0" fontId="16" fillId="0" borderId="33" xfId="0" applyFont="1" applyBorder="1" applyAlignment="1">
      <alignment horizontal="center" vertical="center" wrapText="1"/>
    </xf>
    <xf numFmtId="0" fontId="16" fillId="0" borderId="0" xfId="0" applyFont="1" applyAlignment="1">
      <alignment horizontal="center" vertical="center" wrapText="1"/>
    </xf>
    <xf numFmtId="0" fontId="16" fillId="0" borderId="34" xfId="0" applyFont="1" applyBorder="1" applyAlignment="1">
      <alignment horizontal="center" vertical="center" wrapText="1"/>
    </xf>
    <xf numFmtId="0" fontId="16" fillId="0" borderId="24" xfId="0" applyFont="1" applyBorder="1" applyAlignment="1">
      <alignment horizontal="center" vertical="center" wrapText="1"/>
    </xf>
    <xf numFmtId="0" fontId="16" fillId="0" borderId="8" xfId="0" applyFont="1" applyBorder="1" applyAlignment="1">
      <alignment horizontal="center" vertical="center" wrapText="1"/>
    </xf>
    <xf numFmtId="0" fontId="16" fillId="0" borderId="25" xfId="0" applyFont="1" applyBorder="1" applyAlignment="1">
      <alignment horizontal="center" vertical="center" wrapText="1"/>
    </xf>
    <xf numFmtId="0" fontId="21" fillId="0" borderId="8" xfId="0" applyFont="1" applyBorder="1" applyAlignment="1">
      <alignment horizontal="left" vertical="center"/>
    </xf>
    <xf numFmtId="0" fontId="7" fillId="0" borderId="0" xfId="0" applyFont="1" applyAlignment="1">
      <alignment horizontal="left" vertical="center" wrapText="1"/>
    </xf>
    <xf numFmtId="0" fontId="7" fillId="0" borderId="0" xfId="0" applyFont="1" applyAlignment="1">
      <alignment horizontal="left" vertical="top" wrapText="1"/>
    </xf>
    <xf numFmtId="0" fontId="15" fillId="10" borderId="5" xfId="0" applyFont="1" applyFill="1" applyBorder="1" applyAlignment="1">
      <alignment horizontal="center" vertical="center" wrapText="1"/>
    </xf>
    <xf numFmtId="0" fontId="15" fillId="10" borderId="2" xfId="0" applyFont="1" applyFill="1" applyBorder="1" applyAlignment="1">
      <alignment horizontal="center" vertical="center" wrapText="1"/>
    </xf>
    <xf numFmtId="0" fontId="15" fillId="10" borderId="3" xfId="0" applyFont="1" applyFill="1" applyBorder="1" applyAlignment="1">
      <alignment horizontal="center" vertical="center" wrapText="1"/>
    </xf>
    <xf numFmtId="0" fontId="35" fillId="0" borderId="30" xfId="0" applyFont="1" applyBorder="1" applyAlignment="1">
      <alignment horizontal="center" vertical="top" wrapText="1"/>
    </xf>
    <xf numFmtId="0" fontId="35" fillId="0" borderId="33" xfId="0" applyFont="1" applyBorder="1" applyAlignment="1">
      <alignment horizontal="center" vertical="top" wrapText="1"/>
    </xf>
    <xf numFmtId="0" fontId="35" fillId="0" borderId="33" xfId="0" applyFont="1" applyBorder="1" applyAlignment="1">
      <alignment vertical="top" wrapText="1"/>
    </xf>
    <xf numFmtId="0" fontId="35" fillId="0" borderId="33" xfId="0" applyFont="1" applyBorder="1" applyAlignment="1">
      <alignment vertical="center" wrapText="1"/>
    </xf>
    <xf numFmtId="0" fontId="26" fillId="0" borderId="31" xfId="0" applyFont="1" applyBorder="1" applyAlignment="1">
      <alignment horizontal="center" vertical="top" wrapText="1"/>
    </xf>
    <xf numFmtId="0" fontId="26" fillId="0" borderId="0" xfId="0" applyFont="1" applyBorder="1" applyAlignment="1">
      <alignment horizontal="center" vertical="top" wrapText="1"/>
    </xf>
    <xf numFmtId="0" fontId="36" fillId="0" borderId="0" xfId="0" applyFont="1" applyAlignment="1">
      <alignment horizontal="center" vertical="center"/>
    </xf>
    <xf numFmtId="0" fontId="37" fillId="0" borderId="0" xfId="0" applyFont="1" applyAlignment="1">
      <alignment horizontal="center" vertical="top"/>
    </xf>
    <xf numFmtId="0" fontId="38" fillId="10" borderId="7" xfId="0" applyFont="1" applyFill="1" applyBorder="1" applyAlignment="1">
      <alignment horizontal="center" vertical="center" wrapText="1"/>
    </xf>
    <xf numFmtId="0" fontId="39" fillId="0" borderId="0" xfId="0" applyFont="1" applyAlignment="1">
      <alignment horizontal="left"/>
    </xf>
    <xf numFmtId="0" fontId="17" fillId="0" borderId="0" xfId="0" applyFont="1" applyAlignment="1">
      <alignment horizontal="left" vertical="top" wrapText="1"/>
    </xf>
    <xf numFmtId="0" fontId="0" fillId="0" borderId="0" xfId="0" applyProtection="1"/>
    <xf numFmtId="0" fontId="0" fillId="5" borderId="15" xfId="0" applyFill="1" applyBorder="1" applyAlignment="1" applyProtection="1">
      <alignment horizontal="center" vertical="center"/>
    </xf>
    <xf numFmtId="0" fontId="0" fillId="5" borderId="16" xfId="0" applyFill="1" applyBorder="1" applyAlignment="1" applyProtection="1">
      <alignment horizontal="center" vertical="center"/>
    </xf>
    <xf numFmtId="0" fontId="8" fillId="6" borderId="15" xfId="0" quotePrefix="1" applyFont="1" applyFill="1" applyBorder="1" applyAlignment="1" applyProtection="1">
      <alignment horizontal="center" vertical="center"/>
    </xf>
    <xf numFmtId="0" fontId="4" fillId="0" borderId="17" xfId="0" quotePrefix="1" applyFont="1" applyBorder="1" applyAlignment="1" applyProtection="1">
      <alignment vertical="center"/>
    </xf>
    <xf numFmtId="0" fontId="4" fillId="0" borderId="18" xfId="0" quotePrefix="1" applyFont="1" applyBorder="1" applyAlignment="1" applyProtection="1">
      <alignment vertical="center"/>
    </xf>
    <xf numFmtId="0" fontId="5" fillId="6" borderId="15" xfId="0" quotePrefix="1" applyFont="1" applyFill="1" applyBorder="1" applyAlignment="1" applyProtection="1">
      <alignment horizontal="center" vertical="center"/>
    </xf>
    <xf numFmtId="0" fontId="4" fillId="0" borderId="9" xfId="0" quotePrefix="1" applyFont="1" applyBorder="1" applyAlignment="1" applyProtection="1">
      <alignment vertical="center"/>
    </xf>
    <xf numFmtId="0" fontId="4" fillId="0" borderId="11" xfId="0" quotePrefix="1" applyFont="1" applyBorder="1" applyAlignment="1" applyProtection="1">
      <alignment vertical="center"/>
    </xf>
    <xf numFmtId="0" fontId="0" fillId="6" borderId="15" xfId="0" quotePrefix="1" applyFill="1" applyBorder="1" applyAlignment="1" applyProtection="1">
      <alignment vertical="center"/>
    </xf>
    <xf numFmtId="0" fontId="0" fillId="3" borderId="19" xfId="0" applyFill="1" applyBorder="1" applyAlignment="1" applyProtection="1">
      <alignment horizontal="center" vertical="center"/>
    </xf>
    <xf numFmtId="0" fontId="40" fillId="0" borderId="26" xfId="0" quotePrefix="1" applyFont="1" applyFill="1" applyBorder="1" applyAlignment="1" applyProtection="1">
      <alignment horizontal="center" vertical="center"/>
    </xf>
    <xf numFmtId="0" fontId="9" fillId="0" borderId="9" xfId="0" quotePrefix="1" applyFont="1" applyBorder="1" applyAlignment="1" applyProtection="1">
      <alignment horizontal="center" vertical="center" wrapText="1"/>
    </xf>
    <xf numFmtId="0" fontId="9" fillId="0" borderId="11" xfId="0" quotePrefix="1" applyFont="1" applyBorder="1" applyAlignment="1" applyProtection="1">
      <alignment horizontal="center" vertical="center" wrapText="1"/>
    </xf>
    <xf numFmtId="0" fontId="0" fillId="3" borderId="16" xfId="0" quotePrefix="1" applyFill="1" applyBorder="1" applyAlignment="1" applyProtection="1">
      <alignment vertical="center"/>
    </xf>
    <xf numFmtId="0" fontId="0" fillId="3" borderId="16" xfId="0" applyFill="1" applyBorder="1" applyAlignment="1" applyProtection="1">
      <alignment horizontal="center" vertical="center"/>
    </xf>
    <xf numFmtId="0" fontId="40" fillId="0" borderId="4" xfId="0" quotePrefix="1" applyFont="1" applyFill="1" applyBorder="1" applyAlignment="1" applyProtection="1">
      <alignment horizontal="center" vertical="center"/>
    </xf>
    <xf numFmtId="0" fontId="9" fillId="0" borderId="1" xfId="0" quotePrefix="1" applyFont="1" applyBorder="1" applyAlignment="1" applyProtection="1">
      <alignment horizontal="center" vertical="center" wrapText="1"/>
    </xf>
    <xf numFmtId="0" fontId="9" fillId="0" borderId="20" xfId="0" quotePrefix="1" applyFont="1" applyBorder="1" applyAlignment="1" applyProtection="1">
      <alignment horizontal="center" vertical="center" wrapText="1"/>
    </xf>
    <xf numFmtId="0" fontId="20" fillId="0" borderId="28" xfId="0" quotePrefix="1" applyFont="1" applyFill="1" applyBorder="1" applyAlignment="1" applyProtection="1">
      <alignment horizontal="center" vertical="center"/>
    </xf>
    <xf numFmtId="0" fontId="34" fillId="0" borderId="9" xfId="0" quotePrefix="1" applyFont="1" applyBorder="1" applyAlignment="1" applyProtection="1">
      <alignment horizontal="center" vertical="center"/>
    </xf>
    <xf numFmtId="0" fontId="34" fillId="0" borderId="11" xfId="0" quotePrefix="1" applyFont="1" applyBorder="1" applyAlignment="1" applyProtection="1">
      <alignment horizontal="center" vertical="center"/>
    </xf>
    <xf numFmtId="0" fontId="34" fillId="0" borderId="1" xfId="0" quotePrefix="1" applyFont="1" applyBorder="1" applyAlignment="1" applyProtection="1">
      <alignment horizontal="center" vertical="center"/>
    </xf>
    <xf numFmtId="0" fontId="34" fillId="0" borderId="20" xfId="0" quotePrefix="1" applyFont="1" applyBorder="1" applyAlignment="1" applyProtection="1">
      <alignment horizontal="center" vertical="center"/>
    </xf>
    <xf numFmtId="0" fontId="0" fillId="3" borderId="23" xfId="0" applyFill="1" applyBorder="1" applyAlignment="1" applyProtection="1">
      <alignment horizontal="center" vertical="center"/>
    </xf>
    <xf numFmtId="0" fontId="0" fillId="7" borderId="12" xfId="0" quotePrefix="1" applyFill="1" applyBorder="1" applyAlignment="1" applyProtection="1">
      <alignment vertical="center"/>
    </xf>
    <xf numFmtId="0" fontId="0" fillId="7" borderId="14" xfId="0" quotePrefix="1" applyFill="1" applyBorder="1" applyAlignment="1" applyProtection="1">
      <alignment vertical="center"/>
    </xf>
    <xf numFmtId="0" fontId="34" fillId="0" borderId="12" xfId="0" quotePrefix="1" applyFont="1" applyBorder="1" applyAlignment="1" applyProtection="1">
      <alignment horizontal="center" vertical="center"/>
    </xf>
    <xf numFmtId="0" fontId="34" fillId="0" borderId="14" xfId="0" quotePrefix="1" applyFont="1" applyBorder="1" applyAlignment="1" applyProtection="1">
      <alignment horizontal="center" vertical="center"/>
    </xf>
    <xf numFmtId="0" fontId="0" fillId="7" borderId="12" xfId="0" quotePrefix="1" applyFill="1" applyBorder="1" applyAlignment="1" applyProtection="1">
      <alignment vertical="center" wrapText="1"/>
    </xf>
    <xf numFmtId="0" fontId="0" fillId="7" borderId="14" xfId="0" quotePrefix="1" applyFill="1" applyBorder="1" applyAlignment="1" applyProtection="1">
      <alignment vertical="center" wrapText="1"/>
    </xf>
    <xf numFmtId="0" fontId="0" fillId="3" borderId="23" xfId="0" quotePrefix="1" applyFill="1" applyBorder="1" applyAlignment="1" applyProtection="1">
      <alignment vertical="center"/>
    </xf>
    <xf numFmtId="0" fontId="19" fillId="0" borderId="21" xfId="2" applyFont="1" applyFill="1" applyBorder="1" applyAlignment="1" applyProtection="1">
      <alignment vertical="center"/>
      <protection locked="0"/>
    </xf>
    <xf numFmtId="0" fontId="19" fillId="0" borderId="22" xfId="2" applyFont="1" applyFill="1" applyBorder="1" applyAlignment="1" applyProtection="1">
      <alignment vertical="center"/>
      <protection locked="0"/>
    </xf>
    <xf numFmtId="0" fontId="22" fillId="4" borderId="17" xfId="2" applyFont="1" applyFill="1" applyBorder="1" applyAlignment="1" applyProtection="1">
      <alignment horizontal="center" vertical="center"/>
      <protection locked="0"/>
    </xf>
    <xf numFmtId="0" fontId="22" fillId="4" borderId="35" xfId="2" applyFont="1" applyFill="1" applyBorder="1" applyAlignment="1" applyProtection="1">
      <alignment horizontal="center" vertical="center"/>
      <protection locked="0"/>
    </xf>
    <xf numFmtId="0" fontId="22" fillId="4" borderId="18" xfId="2" applyFont="1" applyFill="1" applyBorder="1" applyAlignment="1" applyProtection="1">
      <alignment horizontal="center" vertical="center"/>
      <protection locked="0"/>
    </xf>
  </cellXfs>
  <cellStyles count="4">
    <cellStyle name="Comma" xfId="1" builtinId="3"/>
    <cellStyle name="Hyperlink" xfId="2" builtinId="8"/>
    <cellStyle name="Normal" xfId="0" builtinId="0"/>
    <cellStyle name="Percent" xfId="3" builtinId="5"/>
  </cellStyles>
  <dxfs count="0"/>
  <tableStyles count="0" defaultTableStyle="TableStyleMedium2" defaultPivotStyle="PivotStyleLight16"/>
  <colors>
    <mruColors>
      <color rgb="FFFF00FF"/>
      <color rgb="FFDEFF81"/>
      <color rgb="FF0066FF"/>
      <color rgb="FF009900"/>
      <color rgb="FFFFE1FF"/>
      <color rgb="FFFFDB69"/>
      <color rgb="FFB7FFFF"/>
      <color rgb="FFFFFF66"/>
      <color rgb="FFCC00CC"/>
      <color rgb="FFE200E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hyperlink" Target="#MENU!A1"/></Relationships>
</file>

<file path=xl/drawings/_rels/drawing3.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hyperlink" Target="#MENU!A1"/></Relationships>
</file>

<file path=xl/drawings/drawing1.xml><?xml version="1.0" encoding="utf-8"?>
<xdr:wsDr xmlns:xdr="http://schemas.openxmlformats.org/drawingml/2006/spreadsheetDrawing" xmlns:a="http://schemas.openxmlformats.org/drawingml/2006/main">
  <xdr:twoCellAnchor editAs="oneCell">
    <xdr:from>
      <xdr:col>8</xdr:col>
      <xdr:colOff>7622</xdr:colOff>
      <xdr:row>5</xdr:row>
      <xdr:rowOff>15242</xdr:rowOff>
    </xdr:from>
    <xdr:to>
      <xdr:col>9</xdr:col>
      <xdr:colOff>2811780</xdr:colOff>
      <xdr:row>11</xdr:row>
      <xdr:rowOff>336973</xdr:rowOff>
    </xdr:to>
    <xdr:pic>
      <xdr:nvPicPr>
        <xdr:cNvPr id="3" name="Picture 2" descr="A room with a table and medical equipment&#10;&#10;Description automatically generated">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220202" y="1927862"/>
          <a:ext cx="3558538" cy="2226731"/>
        </a:xfrm>
        <a:prstGeom prst="rect">
          <a:avLst/>
        </a:prstGeom>
        <a:ln>
          <a:noFill/>
        </a:ln>
        <a:effectLst>
          <a:softEdge rad="112500"/>
        </a:effectLst>
      </xdr:spPr>
    </xdr:pic>
    <xdr:clientData/>
  </xdr:twoCellAnchor>
  <xdr:twoCellAnchor editAs="oneCell">
    <xdr:from>
      <xdr:col>2</xdr:col>
      <xdr:colOff>281940</xdr:colOff>
      <xdr:row>5</xdr:row>
      <xdr:rowOff>31327</xdr:rowOff>
    </xdr:from>
    <xdr:to>
      <xdr:col>3</xdr:col>
      <xdr:colOff>2263139</xdr:colOff>
      <xdr:row>9</xdr:row>
      <xdr:rowOff>91440</xdr:rowOff>
    </xdr:to>
    <xdr:pic>
      <xdr:nvPicPr>
        <xdr:cNvPr id="8" name="Picture 7" descr="A medical equipment in a room&#10;&#10;Description automatically generated">
          <a:extLst>
            <a:ext uri="{FF2B5EF4-FFF2-40B4-BE49-F238E27FC236}">
              <a16:creationId xmlns:a16="http://schemas.microsoft.com/office/drawing/2014/main" id="{00000000-0008-0000-0000-000008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60120" y="1943947"/>
          <a:ext cx="2735579" cy="1584113"/>
        </a:xfrm>
        <a:prstGeom prst="rect">
          <a:avLst/>
        </a:prstGeom>
        <a:ln>
          <a:noFill/>
        </a:ln>
        <a:effectLst>
          <a:softEdge rad="112500"/>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7620</xdr:colOff>
      <xdr:row>8</xdr:row>
      <xdr:rowOff>144780</xdr:rowOff>
    </xdr:from>
    <xdr:to>
      <xdr:col>3</xdr:col>
      <xdr:colOff>2552700</xdr:colOff>
      <xdr:row>12</xdr:row>
      <xdr:rowOff>9783</xdr:rowOff>
    </xdr:to>
    <xdr:pic>
      <xdr:nvPicPr>
        <xdr:cNvPr id="4" name="Picture 3" descr="A close up of a sign&#10;&#10;Description automatically generated">
          <a:extLst>
            <a:ext uri="{FF2B5EF4-FFF2-40B4-BE49-F238E27FC236}">
              <a16:creationId xmlns:a16="http://schemas.microsoft.com/office/drawing/2014/main" id="{0AB620B8-DECF-42AA-A958-9B4D18FCF317}"/>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85800" y="3124200"/>
          <a:ext cx="3299460" cy="96990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205740</xdr:colOff>
      <xdr:row>2</xdr:row>
      <xdr:rowOff>243840</xdr:rowOff>
    </xdr:from>
    <xdr:to>
      <xdr:col>0</xdr:col>
      <xdr:colOff>548640</xdr:colOff>
      <xdr:row>2</xdr:row>
      <xdr:rowOff>614888</xdr:rowOff>
    </xdr:to>
    <xdr:pic>
      <xdr:nvPicPr>
        <xdr:cNvPr id="3" name="Picture 2">
          <a:hlinkClick xmlns:r="http://schemas.openxmlformats.org/officeDocument/2006/relationships" r:id="rId1"/>
          <a:extLst>
            <a:ext uri="{FF2B5EF4-FFF2-40B4-BE49-F238E27FC236}">
              <a16:creationId xmlns:a16="http://schemas.microsoft.com/office/drawing/2014/main" id="{7A7FDBE6-2D57-4E07-9895-A74B16649C1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05740" y="685800"/>
          <a:ext cx="342900" cy="363428"/>
        </a:xfrm>
        <a:prstGeom prst="round2DiagRect">
          <a:avLst>
            <a:gd name="adj1" fmla="val 16667"/>
            <a:gd name="adj2" fmla="val 0"/>
          </a:avLst>
        </a:prstGeom>
        <a:ln w="88900" cap="sq">
          <a:solidFill>
            <a:srgbClr val="FFFFFF"/>
          </a:solidFill>
          <a:miter lim="800000"/>
        </a:ln>
        <a:effectLst>
          <a:outerShdw blurRad="254000" algn="tl" rotWithShape="0">
            <a:srgbClr val="000000">
              <a:alpha val="43000"/>
            </a:srgbClr>
          </a:outerShdw>
        </a:effec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381000</xdr:colOff>
      <xdr:row>2</xdr:row>
      <xdr:rowOff>20781</xdr:rowOff>
    </xdr:from>
    <xdr:to>
      <xdr:col>9</xdr:col>
      <xdr:colOff>124692</xdr:colOff>
      <xdr:row>3</xdr:row>
      <xdr:rowOff>93264</xdr:rowOff>
    </xdr:to>
    <xdr:pic>
      <xdr:nvPicPr>
        <xdr:cNvPr id="2" name="Picture 1">
          <a:hlinkClick xmlns:r="http://schemas.openxmlformats.org/officeDocument/2006/relationships" r:id="rId1"/>
          <a:extLst>
            <a:ext uri="{FF2B5EF4-FFF2-40B4-BE49-F238E27FC236}">
              <a16:creationId xmlns:a16="http://schemas.microsoft.com/office/drawing/2014/main" id="{C6DF7274-6513-41E3-9AD3-92BD695CA1A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892636" y="401781"/>
          <a:ext cx="353292" cy="363428"/>
        </a:xfrm>
        <a:prstGeom prst="round2DiagRect">
          <a:avLst>
            <a:gd name="adj1" fmla="val 16667"/>
            <a:gd name="adj2" fmla="val 0"/>
          </a:avLst>
        </a:prstGeom>
        <a:ln w="88900" cap="sq">
          <a:solidFill>
            <a:srgbClr val="FFFFFF"/>
          </a:solidFill>
          <a:miter lim="800000"/>
        </a:ln>
        <a:effectLst>
          <a:outerShdw blurRad="254000" algn="tl" rotWithShape="0">
            <a:srgbClr val="000000">
              <a:alpha val="43000"/>
            </a:srgbClr>
          </a:outerShdw>
        </a:effec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B9B9FF"/>
  </sheetPr>
  <dimension ref="B1:K13"/>
  <sheetViews>
    <sheetView showGridLines="0" tabSelected="1" zoomScaleNormal="100" workbookViewId="0">
      <selection activeCell="B2" sqref="B2:K3"/>
    </sheetView>
  </sheetViews>
  <sheetFormatPr defaultRowHeight="14.4" x14ac:dyDescent="0.3"/>
  <cols>
    <col min="1" max="1" width="3.5546875" style="121" customWidth="1"/>
    <col min="2" max="2" width="6.33203125" style="121" customWidth="1"/>
    <col min="3" max="3" width="11" style="121" customWidth="1"/>
    <col min="4" max="4" width="37.33203125" style="121" customWidth="1"/>
    <col min="5" max="5" width="6.33203125" style="121" customWidth="1"/>
    <col min="6" max="6" width="9.5546875" style="121" customWidth="1"/>
    <col min="7" max="7" width="54.109375" style="121" customWidth="1"/>
    <col min="8" max="8" width="6.109375" style="121" customWidth="1"/>
    <col min="9" max="9" width="11" style="121" customWidth="1"/>
    <col min="10" max="10" width="41.21875" style="121" customWidth="1"/>
    <col min="11" max="11" width="6.109375" style="121" customWidth="1"/>
    <col min="12" max="16384" width="8.88671875" style="121"/>
  </cols>
  <sheetData>
    <row r="1" spans="2:11" ht="18.600000000000001" customHeight="1" thickBot="1" x14ac:dyDescent="0.35"/>
    <row r="2" spans="2:11" ht="40.5" customHeight="1" x14ac:dyDescent="0.3">
      <c r="B2" s="61" t="s">
        <v>24</v>
      </c>
      <c r="C2" s="62"/>
      <c r="D2" s="62"/>
      <c r="E2" s="62"/>
      <c r="F2" s="62"/>
      <c r="G2" s="62"/>
      <c r="H2" s="62"/>
      <c r="I2" s="62"/>
      <c r="J2" s="62"/>
      <c r="K2" s="63"/>
    </row>
    <row r="3" spans="2:11" ht="28.5" customHeight="1" thickBot="1" x14ac:dyDescent="0.35">
      <c r="B3" s="64"/>
      <c r="C3" s="65"/>
      <c r="D3" s="65"/>
      <c r="E3" s="65"/>
      <c r="F3" s="65"/>
      <c r="G3" s="65"/>
      <c r="H3" s="65"/>
      <c r="I3" s="65"/>
      <c r="J3" s="65"/>
      <c r="K3" s="66"/>
    </row>
    <row r="4" spans="2:11" ht="43.2" customHeight="1" thickBot="1" x14ac:dyDescent="0.35">
      <c r="B4" s="122"/>
      <c r="C4" s="155" t="s">
        <v>125</v>
      </c>
      <c r="D4" s="156"/>
      <c r="E4" s="156"/>
      <c r="F4" s="156"/>
      <c r="G4" s="156"/>
      <c r="H4" s="157"/>
      <c r="I4" s="67" t="s">
        <v>22</v>
      </c>
      <c r="J4" s="68"/>
      <c r="K4" s="123"/>
    </row>
    <row r="5" spans="2:11" ht="27" customHeight="1" thickBot="1" x14ac:dyDescent="0.35">
      <c r="B5" s="124"/>
      <c r="C5" s="125"/>
      <c r="D5" s="126"/>
      <c r="E5" s="127"/>
      <c r="F5" s="128"/>
      <c r="G5" s="129"/>
      <c r="H5" s="127"/>
      <c r="I5" s="125"/>
      <c r="J5" s="126"/>
      <c r="K5" s="130"/>
    </row>
    <row r="6" spans="2:11" ht="30" customHeight="1" x14ac:dyDescent="0.3">
      <c r="B6" s="131"/>
      <c r="C6" s="53"/>
      <c r="D6" s="54"/>
      <c r="E6" s="55"/>
      <c r="F6" s="132" t="s">
        <v>1</v>
      </c>
      <c r="G6" s="153" t="s">
        <v>123</v>
      </c>
      <c r="H6" s="58"/>
      <c r="I6" s="133"/>
      <c r="J6" s="134"/>
      <c r="K6" s="135"/>
    </row>
    <row r="7" spans="2:11" ht="30" customHeight="1" x14ac:dyDescent="0.3">
      <c r="B7" s="136"/>
      <c r="C7" s="53"/>
      <c r="D7" s="54"/>
      <c r="E7" s="56"/>
      <c r="F7" s="137" t="s">
        <v>2</v>
      </c>
      <c r="G7" s="154" t="s">
        <v>124</v>
      </c>
      <c r="H7" s="59"/>
      <c r="I7" s="138"/>
      <c r="J7" s="139"/>
      <c r="K7" s="135"/>
    </row>
    <row r="8" spans="2:11" ht="30" customHeight="1" x14ac:dyDescent="0.3">
      <c r="B8" s="136"/>
      <c r="C8" s="53"/>
      <c r="D8" s="54"/>
      <c r="E8" s="56"/>
      <c r="F8" s="137" t="s">
        <v>3</v>
      </c>
      <c r="G8" s="154" t="s">
        <v>147</v>
      </c>
      <c r="H8" s="59"/>
      <c r="I8" s="138"/>
      <c r="J8" s="139"/>
      <c r="K8" s="135"/>
    </row>
    <row r="9" spans="2:11" ht="30" customHeight="1" thickBot="1" x14ac:dyDescent="0.35">
      <c r="B9" s="136"/>
      <c r="C9" s="53"/>
      <c r="D9" s="54"/>
      <c r="E9" s="56"/>
      <c r="F9" s="140"/>
      <c r="G9" s="13"/>
      <c r="H9" s="59"/>
      <c r="I9" s="138"/>
      <c r="J9" s="139"/>
      <c r="K9" s="135"/>
    </row>
    <row r="10" spans="2:11" ht="15" customHeight="1" x14ac:dyDescent="0.3">
      <c r="B10" s="136"/>
      <c r="C10" s="53"/>
      <c r="D10" s="54"/>
      <c r="E10" s="56"/>
      <c r="F10" s="141" t="s">
        <v>8</v>
      </c>
      <c r="G10" s="142"/>
      <c r="H10" s="59"/>
      <c r="I10" s="138"/>
      <c r="J10" s="139"/>
      <c r="K10" s="135"/>
    </row>
    <row r="11" spans="2:11" ht="15" customHeight="1" x14ac:dyDescent="0.3">
      <c r="B11" s="136"/>
      <c r="C11" s="53"/>
      <c r="D11" s="54"/>
      <c r="E11" s="56"/>
      <c r="F11" s="143"/>
      <c r="G11" s="144"/>
      <c r="H11" s="59"/>
      <c r="I11" s="138"/>
      <c r="J11" s="139"/>
      <c r="K11" s="135"/>
    </row>
    <row r="12" spans="2:11" ht="27" customHeight="1" x14ac:dyDescent="0.3">
      <c r="B12" s="136"/>
      <c r="C12" s="53"/>
      <c r="D12" s="54"/>
      <c r="E12" s="56"/>
      <c r="F12" s="143"/>
      <c r="G12" s="144"/>
      <c r="H12" s="59"/>
      <c r="I12" s="138"/>
      <c r="J12" s="139"/>
      <c r="K12" s="135"/>
    </row>
    <row r="13" spans="2:11" ht="27.6" customHeight="1" thickBot="1" x14ac:dyDescent="0.35">
      <c r="B13" s="145"/>
      <c r="C13" s="146"/>
      <c r="D13" s="147"/>
      <c r="E13" s="57"/>
      <c r="F13" s="148"/>
      <c r="G13" s="149"/>
      <c r="H13" s="60"/>
      <c r="I13" s="150"/>
      <c r="J13" s="151"/>
      <c r="K13" s="152"/>
    </row>
  </sheetData>
  <sheetProtection algorithmName="SHA-512" hashValue="eNcojNcnXk1ia1NYFKhgGbg4+vJgcOjN+VGg0pnqiuc7Yju+g8g10YUCiO1xXnX0Xj0XVUG7qohRZCvNXinrCw==" saltValue="gc9EPClgB18GbAzZezmTrQ==" spinCount="100000" sheet="1" selectLockedCells="1"/>
  <mergeCells count="12">
    <mergeCell ref="B2:K3"/>
    <mergeCell ref="I4:J4"/>
    <mergeCell ref="C5:D5"/>
    <mergeCell ref="F5:G5"/>
    <mergeCell ref="I5:J5"/>
    <mergeCell ref="C4:H4"/>
    <mergeCell ref="B6:B13"/>
    <mergeCell ref="C6:D12"/>
    <mergeCell ref="E6:E13"/>
    <mergeCell ref="H6:H13"/>
    <mergeCell ref="I6:J12"/>
    <mergeCell ref="F10:G13"/>
  </mergeCells>
  <hyperlinks>
    <hyperlink ref="G6" location="'ALTERNATIF PENAWARAN'!A1" display="Alternatif Penawaran Capex" xr:uid="{00000000-0004-0000-0000-000000000000}"/>
    <hyperlink ref="G7" location="'SKEMA REVENUE SHARING'!A1" display="Skema Revenue Sharing" xr:uid="{00000000-0004-0000-0000-000001000000}"/>
    <hyperlink ref="G8" location="Ans!A1" display="Answer" xr:uid="{00000000-0004-0000-0000-000002000000}"/>
  </hyperlink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0EA03B-75E6-49BE-92F8-60FD959D2015}">
  <sheetPr>
    <tabColor rgb="FFFFFF00"/>
  </sheetPr>
  <dimension ref="A1:E16"/>
  <sheetViews>
    <sheetView showGridLines="0" zoomScale="110" zoomScaleNormal="110" workbookViewId="0">
      <selection activeCell="C7" sqref="C7"/>
    </sheetView>
  </sheetViews>
  <sheetFormatPr defaultRowHeight="14.4" x14ac:dyDescent="0.3"/>
  <cols>
    <col min="1" max="1" width="10.5546875" customWidth="1"/>
    <col min="2" max="2" width="50.77734375" customWidth="1"/>
    <col min="3" max="3" width="52.77734375" customWidth="1"/>
    <col min="4" max="4" width="61.21875" customWidth="1"/>
  </cols>
  <sheetData>
    <row r="1" spans="1:5" ht="19.95" customHeight="1" x14ac:dyDescent="0.35">
      <c r="A1" s="5" t="s">
        <v>139</v>
      </c>
    </row>
    <row r="2" spans="1:5" ht="19.95" customHeight="1" x14ac:dyDescent="0.3"/>
    <row r="3" spans="1:5" ht="63" customHeight="1" x14ac:dyDescent="0.3">
      <c r="B3" s="76" t="s">
        <v>26</v>
      </c>
      <c r="C3" s="76"/>
      <c r="D3" s="76"/>
      <c r="E3" s="21"/>
    </row>
    <row r="4" spans="1:5" ht="19.95" customHeight="1" thickBot="1" x14ac:dyDescent="0.35">
      <c r="B4" s="1"/>
    </row>
    <row r="5" spans="1:5" ht="24" customHeight="1" thickBot="1" x14ac:dyDescent="0.35">
      <c r="B5" s="22" t="s">
        <v>136</v>
      </c>
      <c r="C5" s="23" t="s">
        <v>137</v>
      </c>
      <c r="D5" s="24" t="s">
        <v>138</v>
      </c>
    </row>
    <row r="6" spans="1:5" ht="40.049999999999997" customHeight="1" x14ac:dyDescent="0.3">
      <c r="B6" s="69" t="s">
        <v>132</v>
      </c>
      <c r="C6" s="18" t="s">
        <v>27</v>
      </c>
      <c r="D6" s="74" t="s">
        <v>25</v>
      </c>
    </row>
    <row r="7" spans="1:5" ht="40.049999999999997" customHeight="1" x14ac:dyDescent="0.3">
      <c r="B7" s="70"/>
      <c r="C7" s="19" t="s">
        <v>5</v>
      </c>
      <c r="D7" s="75"/>
    </row>
    <row r="8" spans="1:5" ht="40.049999999999997" customHeight="1" x14ac:dyDescent="0.3">
      <c r="B8" s="70"/>
      <c r="C8" s="19" t="s">
        <v>6</v>
      </c>
      <c r="D8" s="11" t="s">
        <v>133</v>
      </c>
    </row>
    <row r="9" spans="1:5" ht="40.049999999999997" customHeight="1" thickBot="1" x14ac:dyDescent="0.35">
      <c r="B9" s="71"/>
      <c r="C9" s="20" t="s">
        <v>28</v>
      </c>
      <c r="D9" s="12" t="s">
        <v>134</v>
      </c>
    </row>
    <row r="10" spans="1:5" ht="43.8" customHeight="1" thickBot="1" x14ac:dyDescent="0.35">
      <c r="B10" s="72" t="s">
        <v>7</v>
      </c>
      <c r="C10" s="73"/>
    </row>
    <row r="11" spans="1:5" ht="19.95" customHeight="1" x14ac:dyDescent="0.3">
      <c r="B11" s="2"/>
      <c r="C11" s="3"/>
    </row>
    <row r="12" spans="1:5" ht="19.95" customHeight="1" x14ac:dyDescent="0.3">
      <c r="B12" s="4" t="s">
        <v>4</v>
      </c>
      <c r="C12" s="3"/>
    </row>
    <row r="13" spans="1:5" ht="19.95" customHeight="1" x14ac:dyDescent="0.3"/>
    <row r="14" spans="1:5" ht="19.95" customHeight="1" x14ac:dyDescent="0.3">
      <c r="B14" s="4"/>
    </row>
    <row r="15" spans="1:5" ht="19.95" customHeight="1" x14ac:dyDescent="0.3"/>
    <row r="16" spans="1:5" ht="19.95" customHeight="1" x14ac:dyDescent="0.3"/>
  </sheetData>
  <mergeCells count="4">
    <mergeCell ref="B6:B9"/>
    <mergeCell ref="B10:C10"/>
    <mergeCell ref="D6:D7"/>
    <mergeCell ref="B3:D3"/>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0EC9DE-4CB4-44BB-B66C-DA87FB13469E}">
  <sheetPr>
    <tabColor rgb="FFDEFF81"/>
  </sheetPr>
  <dimension ref="A1:M81"/>
  <sheetViews>
    <sheetView showGridLines="0" zoomScale="80" zoomScaleNormal="80" workbookViewId="0">
      <pane ySplit="4" topLeftCell="A5" activePane="bottomLeft" state="frozen"/>
      <selection pane="bottomLeft" activeCell="H5" sqref="H5"/>
    </sheetView>
  </sheetViews>
  <sheetFormatPr defaultRowHeight="14.4" x14ac:dyDescent="0.3"/>
  <cols>
    <col min="1" max="1" width="6.21875" customWidth="1"/>
    <col min="2" max="2" width="48.6640625" bestFit="1" customWidth="1"/>
    <col min="3" max="3" width="16.21875" customWidth="1"/>
    <col min="4" max="4" width="13.77734375" customWidth="1"/>
    <col min="5" max="5" width="15.21875" customWidth="1"/>
    <col min="6" max="7" width="20.44140625" bestFit="1" customWidth="1"/>
    <col min="8" max="8" width="18.33203125" customWidth="1"/>
    <col min="9" max="9" width="21.33203125" customWidth="1"/>
    <col min="10" max="10" width="21" customWidth="1"/>
    <col min="11" max="11" width="14.44140625" customWidth="1"/>
    <col min="12" max="12" width="15.5546875" customWidth="1"/>
    <col min="13" max="13" width="22.21875" customWidth="1"/>
  </cols>
  <sheetData>
    <row r="1" spans="1:13" ht="22.8" customHeight="1" thickBot="1" x14ac:dyDescent="0.35">
      <c r="A1" s="77" t="s">
        <v>30</v>
      </c>
      <c r="B1" s="77"/>
      <c r="C1" s="77"/>
    </row>
    <row r="2" spans="1:13" ht="22.8" customHeight="1" thickBot="1" x14ac:dyDescent="0.35">
      <c r="A2" s="77"/>
      <c r="B2" s="77"/>
      <c r="C2" s="77"/>
      <c r="D2" s="27"/>
      <c r="E2" s="27"/>
      <c r="F2" s="116" t="s">
        <v>127</v>
      </c>
      <c r="G2" s="116" t="s">
        <v>128</v>
      </c>
      <c r="H2" s="116" t="s">
        <v>129</v>
      </c>
      <c r="I2" s="116" t="s">
        <v>130</v>
      </c>
      <c r="J2" s="33">
        <v>0.15</v>
      </c>
    </row>
    <row r="3" spans="1:13" ht="37.799999999999997" customHeight="1" thickBot="1" x14ac:dyDescent="0.35">
      <c r="A3" s="27"/>
      <c r="B3" s="27"/>
      <c r="C3" s="27"/>
      <c r="D3" s="34">
        <v>0.15</v>
      </c>
      <c r="E3" s="87" t="s">
        <v>113</v>
      </c>
      <c r="F3" s="51">
        <f>SUM(F56:F81)</f>
        <v>1377000000</v>
      </c>
      <c r="G3" s="83" t="s">
        <v>141</v>
      </c>
      <c r="H3" s="85" t="s">
        <v>142</v>
      </c>
      <c r="I3" s="87" t="s">
        <v>35</v>
      </c>
      <c r="J3" s="87" t="s">
        <v>119</v>
      </c>
      <c r="K3" s="46" t="s">
        <v>120</v>
      </c>
      <c r="L3" s="78" t="s">
        <v>14</v>
      </c>
      <c r="M3" s="80" t="s">
        <v>121</v>
      </c>
    </row>
    <row r="4" spans="1:13" ht="35.4" customHeight="1" thickBot="1" x14ac:dyDescent="0.35">
      <c r="A4" s="32" t="s">
        <v>0</v>
      </c>
      <c r="B4" s="32" t="s">
        <v>31</v>
      </c>
      <c r="C4" s="35" t="s">
        <v>32</v>
      </c>
      <c r="D4" s="32" t="s">
        <v>33</v>
      </c>
      <c r="E4" s="88"/>
      <c r="F4" s="32" t="s">
        <v>34</v>
      </c>
      <c r="G4" s="84"/>
      <c r="H4" s="86"/>
      <c r="I4" s="88"/>
      <c r="J4" s="88"/>
      <c r="K4" s="33">
        <v>0.1</v>
      </c>
      <c r="L4" s="79"/>
      <c r="M4" s="81"/>
    </row>
    <row r="5" spans="1:13" ht="22.05" customHeight="1" x14ac:dyDescent="0.3">
      <c r="A5" s="36">
        <v>1</v>
      </c>
      <c r="B5" s="37" t="s">
        <v>36</v>
      </c>
      <c r="C5" s="38">
        <v>150000</v>
      </c>
      <c r="D5" s="38">
        <f>$D$3*C5</f>
        <v>22500</v>
      </c>
      <c r="E5" s="39">
        <v>5658</v>
      </c>
      <c r="F5" s="38">
        <f>E5*D5</f>
        <v>127305000</v>
      </c>
      <c r="G5" s="30">
        <f>34*12*4000000</f>
        <v>1632000000</v>
      </c>
      <c r="H5" s="31">
        <v>240000000</v>
      </c>
      <c r="I5" s="52">
        <f>F3-G5-H5</f>
        <v>-495000000</v>
      </c>
      <c r="J5" s="44">
        <f>(1-J2)*I5</f>
        <v>-420750000</v>
      </c>
      <c r="K5" s="47" t="s">
        <v>114</v>
      </c>
      <c r="L5" s="48">
        <f>1*((1+0.1)^-A5)</f>
        <v>0.90909090909090906</v>
      </c>
      <c r="M5" s="49">
        <f>L5*J5</f>
        <v>-382500000</v>
      </c>
    </row>
    <row r="6" spans="1:13" ht="22.05" customHeight="1" x14ac:dyDescent="0.3">
      <c r="A6" s="40">
        <v>2</v>
      </c>
      <c r="B6" s="37" t="s">
        <v>37</v>
      </c>
      <c r="C6" s="41">
        <v>150000</v>
      </c>
      <c r="D6" s="41">
        <f t="shared" ref="D6:D69" si="0">$D$3*C6</f>
        <v>22500</v>
      </c>
      <c r="E6" s="42">
        <v>6</v>
      </c>
      <c r="F6" s="41">
        <f t="shared" ref="F6:F69" si="1">E6*D6</f>
        <v>135000</v>
      </c>
      <c r="G6" s="110" t="s">
        <v>126</v>
      </c>
      <c r="H6" s="114" t="s">
        <v>140</v>
      </c>
      <c r="I6" s="117" t="s">
        <v>131</v>
      </c>
      <c r="J6" s="29">
        <f>(1+$K$4)*J5</f>
        <v>-462825000.00000006</v>
      </c>
      <c r="K6" s="45" t="s">
        <v>115</v>
      </c>
      <c r="L6" s="48">
        <f t="shared" ref="L6:L9" si="2">1*((1+0.1)^-A6)</f>
        <v>0.82644628099173545</v>
      </c>
      <c r="M6" s="49">
        <f>L6*J6</f>
        <v>-382500000</v>
      </c>
    </row>
    <row r="7" spans="1:13" ht="22.05" customHeight="1" x14ac:dyDescent="0.3">
      <c r="A7" s="40">
        <v>3</v>
      </c>
      <c r="B7" s="37" t="s">
        <v>38</v>
      </c>
      <c r="C7" s="41">
        <v>150000</v>
      </c>
      <c r="D7" s="41">
        <f t="shared" si="0"/>
        <v>22500</v>
      </c>
      <c r="E7" s="42">
        <v>564</v>
      </c>
      <c r="F7" s="41">
        <f t="shared" si="1"/>
        <v>12690000</v>
      </c>
      <c r="G7" s="111"/>
      <c r="H7" s="115"/>
      <c r="J7" s="29">
        <f t="shared" ref="J7:J9" si="3">(1+$K$4)*J6</f>
        <v>-509107500.00000012</v>
      </c>
      <c r="K7" s="45" t="s">
        <v>116</v>
      </c>
      <c r="L7" s="48">
        <f t="shared" si="2"/>
        <v>0.75131480090157754</v>
      </c>
      <c r="M7" s="49">
        <f>L7*J7</f>
        <v>-382500000</v>
      </c>
    </row>
    <row r="8" spans="1:13" ht="22.05" customHeight="1" x14ac:dyDescent="0.3">
      <c r="A8" s="40">
        <v>4</v>
      </c>
      <c r="B8" s="37" t="s">
        <v>39</v>
      </c>
      <c r="C8" s="41">
        <v>150000</v>
      </c>
      <c r="D8" s="41">
        <f t="shared" si="0"/>
        <v>22500</v>
      </c>
      <c r="E8" s="42">
        <v>4272</v>
      </c>
      <c r="F8" s="41">
        <f t="shared" si="1"/>
        <v>96120000</v>
      </c>
      <c r="G8" s="111"/>
      <c r="H8" s="115"/>
      <c r="J8" s="29">
        <f t="shared" si="3"/>
        <v>-560018250.00000012</v>
      </c>
      <c r="K8" s="45" t="s">
        <v>117</v>
      </c>
      <c r="L8" s="48">
        <f t="shared" si="2"/>
        <v>0.68301345536507052</v>
      </c>
      <c r="M8" s="49">
        <f t="shared" ref="M8:M9" si="4">L8*J8</f>
        <v>-382500000</v>
      </c>
    </row>
    <row r="9" spans="1:13" ht="22.05" customHeight="1" x14ac:dyDescent="0.3">
      <c r="A9" s="40">
        <v>5</v>
      </c>
      <c r="B9" s="37" t="s">
        <v>40</v>
      </c>
      <c r="C9" s="41">
        <v>150000</v>
      </c>
      <c r="D9" s="41">
        <f t="shared" si="0"/>
        <v>22500</v>
      </c>
      <c r="E9" s="42">
        <v>6</v>
      </c>
      <c r="F9" s="41">
        <f t="shared" si="1"/>
        <v>135000</v>
      </c>
      <c r="G9" s="111"/>
      <c r="H9" s="115"/>
      <c r="J9" s="29">
        <f t="shared" si="3"/>
        <v>-616020075.00000024</v>
      </c>
      <c r="K9" s="45" t="s">
        <v>118</v>
      </c>
      <c r="L9" s="48">
        <f t="shared" si="2"/>
        <v>0.62092132305915493</v>
      </c>
      <c r="M9" s="49">
        <f t="shared" si="4"/>
        <v>-382500000</v>
      </c>
    </row>
    <row r="10" spans="1:13" ht="22.05" customHeight="1" x14ac:dyDescent="0.3">
      <c r="A10" s="40">
        <v>6</v>
      </c>
      <c r="B10" s="37" t="s">
        <v>41</v>
      </c>
      <c r="C10" s="41">
        <v>150000</v>
      </c>
      <c r="D10" s="41">
        <f t="shared" si="0"/>
        <v>22500</v>
      </c>
      <c r="E10" s="42">
        <v>5160</v>
      </c>
      <c r="F10" s="41">
        <f t="shared" si="1"/>
        <v>116100000</v>
      </c>
      <c r="G10" s="113"/>
      <c r="H10" s="115"/>
      <c r="K10" s="82" t="s">
        <v>122</v>
      </c>
      <c r="L10" s="82"/>
      <c r="M10" s="50">
        <f>SUM(M5:M9)</f>
        <v>-1912500000</v>
      </c>
    </row>
    <row r="11" spans="1:13" ht="22.05" customHeight="1" x14ac:dyDescent="0.3">
      <c r="A11" s="40">
        <v>7</v>
      </c>
      <c r="B11" s="37" t="s">
        <v>42</v>
      </c>
      <c r="C11" s="41">
        <v>150000</v>
      </c>
      <c r="D11" s="41">
        <f t="shared" si="0"/>
        <v>22500</v>
      </c>
      <c r="E11" s="42">
        <v>1980</v>
      </c>
      <c r="F11" s="41">
        <f t="shared" si="1"/>
        <v>44550000</v>
      </c>
      <c r="G11" s="112"/>
      <c r="H11" s="115"/>
    </row>
    <row r="12" spans="1:13" ht="22.05" customHeight="1" x14ac:dyDescent="0.3">
      <c r="A12" s="40">
        <v>8</v>
      </c>
      <c r="B12" s="37" t="s">
        <v>43</v>
      </c>
      <c r="C12" s="41">
        <v>150000</v>
      </c>
      <c r="D12" s="41">
        <f t="shared" si="0"/>
        <v>22500</v>
      </c>
      <c r="E12" s="42">
        <v>1980</v>
      </c>
      <c r="F12" s="41">
        <f t="shared" si="1"/>
        <v>44550000</v>
      </c>
      <c r="H12" s="115"/>
    </row>
    <row r="13" spans="1:13" ht="22.05" customHeight="1" x14ac:dyDescent="0.3">
      <c r="A13" s="40">
        <v>9</v>
      </c>
      <c r="B13" s="37" t="s">
        <v>44</v>
      </c>
      <c r="C13" s="41">
        <v>150000</v>
      </c>
      <c r="D13" s="41">
        <f t="shared" si="0"/>
        <v>22500</v>
      </c>
      <c r="E13" s="42">
        <v>2166</v>
      </c>
      <c r="F13" s="41">
        <f t="shared" si="1"/>
        <v>48735000</v>
      </c>
    </row>
    <row r="14" spans="1:13" ht="22.05" customHeight="1" x14ac:dyDescent="0.3">
      <c r="A14" s="40">
        <v>10</v>
      </c>
      <c r="B14" s="37" t="s">
        <v>45</v>
      </c>
      <c r="C14" s="41">
        <v>150000</v>
      </c>
      <c r="D14" s="41">
        <f t="shared" si="0"/>
        <v>22500</v>
      </c>
      <c r="E14" s="42">
        <v>11982</v>
      </c>
      <c r="F14" s="41">
        <f t="shared" si="1"/>
        <v>269595000</v>
      </c>
    </row>
    <row r="15" spans="1:13" ht="22.05" customHeight="1" x14ac:dyDescent="0.3">
      <c r="A15" s="40">
        <v>11</v>
      </c>
      <c r="B15" s="37" t="s">
        <v>46</v>
      </c>
      <c r="C15" s="41">
        <v>150000</v>
      </c>
      <c r="D15" s="41">
        <f t="shared" si="0"/>
        <v>22500</v>
      </c>
      <c r="E15" s="42">
        <v>510</v>
      </c>
      <c r="F15" s="41">
        <f t="shared" si="1"/>
        <v>11475000</v>
      </c>
    </row>
    <row r="16" spans="1:13" ht="22.05" customHeight="1" x14ac:dyDescent="0.3">
      <c r="A16" s="40">
        <v>12</v>
      </c>
      <c r="B16" s="43" t="s">
        <v>47</v>
      </c>
      <c r="C16" s="41">
        <v>150000</v>
      </c>
      <c r="D16" s="41">
        <f t="shared" si="0"/>
        <v>22500</v>
      </c>
      <c r="E16" s="42">
        <v>32208</v>
      </c>
      <c r="F16" s="41">
        <f t="shared" si="1"/>
        <v>724680000</v>
      </c>
    </row>
    <row r="17" spans="1:6" ht="22.05" customHeight="1" x14ac:dyDescent="0.3">
      <c r="A17" s="40">
        <v>13</v>
      </c>
      <c r="B17" s="37" t="s">
        <v>48</v>
      </c>
      <c r="C17" s="41">
        <v>150000</v>
      </c>
      <c r="D17" s="41">
        <f t="shared" si="0"/>
        <v>22500</v>
      </c>
      <c r="E17" s="42">
        <v>1698</v>
      </c>
      <c r="F17" s="41">
        <f t="shared" si="1"/>
        <v>38205000</v>
      </c>
    </row>
    <row r="18" spans="1:6" ht="22.05" customHeight="1" x14ac:dyDescent="0.3">
      <c r="A18" s="40">
        <v>14</v>
      </c>
      <c r="B18" s="37" t="s">
        <v>49</v>
      </c>
      <c r="C18" s="41">
        <v>150000</v>
      </c>
      <c r="D18" s="41">
        <f t="shared" si="0"/>
        <v>22500</v>
      </c>
      <c r="E18" s="42">
        <v>5886</v>
      </c>
      <c r="F18" s="41">
        <f t="shared" si="1"/>
        <v>132435000</v>
      </c>
    </row>
    <row r="19" spans="1:6" ht="22.05" customHeight="1" x14ac:dyDescent="0.3">
      <c r="A19" s="40">
        <v>15</v>
      </c>
      <c r="B19" s="37" t="s">
        <v>50</v>
      </c>
      <c r="C19" s="41">
        <v>150000</v>
      </c>
      <c r="D19" s="41">
        <f t="shared" si="0"/>
        <v>22500</v>
      </c>
      <c r="E19" s="42">
        <v>68664</v>
      </c>
      <c r="F19" s="41">
        <f t="shared" si="1"/>
        <v>1544940000</v>
      </c>
    </row>
    <row r="20" spans="1:6" ht="22.05" customHeight="1" x14ac:dyDescent="0.3">
      <c r="A20" s="40">
        <v>16</v>
      </c>
      <c r="B20" s="37" t="s">
        <v>51</v>
      </c>
      <c r="C20" s="41">
        <v>150000</v>
      </c>
      <c r="D20" s="41">
        <f t="shared" si="0"/>
        <v>22500</v>
      </c>
      <c r="E20" s="42">
        <v>480</v>
      </c>
      <c r="F20" s="41">
        <f t="shared" si="1"/>
        <v>10800000</v>
      </c>
    </row>
    <row r="21" spans="1:6" ht="22.05" customHeight="1" x14ac:dyDescent="0.3">
      <c r="A21" s="40">
        <v>17</v>
      </c>
      <c r="B21" s="37" t="s">
        <v>52</v>
      </c>
      <c r="C21" s="41">
        <v>150000</v>
      </c>
      <c r="D21" s="41">
        <f t="shared" si="0"/>
        <v>22500</v>
      </c>
      <c r="E21" s="42">
        <v>2766</v>
      </c>
      <c r="F21" s="41">
        <f t="shared" si="1"/>
        <v>62235000</v>
      </c>
    </row>
    <row r="22" spans="1:6" ht="22.05" customHeight="1" x14ac:dyDescent="0.3">
      <c r="A22" s="40">
        <v>18</v>
      </c>
      <c r="B22" s="37" t="s">
        <v>53</v>
      </c>
      <c r="C22" s="41">
        <v>150000</v>
      </c>
      <c r="D22" s="41">
        <f t="shared" si="0"/>
        <v>22500</v>
      </c>
      <c r="E22" s="42">
        <v>3582</v>
      </c>
      <c r="F22" s="41">
        <f t="shared" si="1"/>
        <v>80595000</v>
      </c>
    </row>
    <row r="23" spans="1:6" ht="22.05" customHeight="1" x14ac:dyDescent="0.3">
      <c r="A23" s="40">
        <v>19</v>
      </c>
      <c r="B23" s="37" t="s">
        <v>54</v>
      </c>
      <c r="C23" s="41">
        <v>150000</v>
      </c>
      <c r="D23" s="41">
        <f t="shared" si="0"/>
        <v>22500</v>
      </c>
      <c r="E23" s="42">
        <v>150</v>
      </c>
      <c r="F23" s="41">
        <f t="shared" si="1"/>
        <v>3375000</v>
      </c>
    </row>
    <row r="24" spans="1:6" ht="22.05" customHeight="1" x14ac:dyDescent="0.3">
      <c r="A24" s="40">
        <v>20</v>
      </c>
      <c r="B24" s="37" t="s">
        <v>55</v>
      </c>
      <c r="C24" s="41">
        <v>150000</v>
      </c>
      <c r="D24" s="41">
        <f t="shared" si="0"/>
        <v>22500</v>
      </c>
      <c r="E24" s="42">
        <v>1272</v>
      </c>
      <c r="F24" s="41">
        <f t="shared" si="1"/>
        <v>28620000</v>
      </c>
    </row>
    <row r="25" spans="1:6" ht="22.05" customHeight="1" x14ac:dyDescent="0.3">
      <c r="A25" s="40">
        <v>21</v>
      </c>
      <c r="B25" s="37" t="s">
        <v>56</v>
      </c>
      <c r="C25" s="41">
        <v>150000</v>
      </c>
      <c r="D25" s="41">
        <f t="shared" si="0"/>
        <v>22500</v>
      </c>
      <c r="E25" s="42">
        <v>870</v>
      </c>
      <c r="F25" s="41">
        <f t="shared" si="1"/>
        <v>19575000</v>
      </c>
    </row>
    <row r="26" spans="1:6" ht="22.05" customHeight="1" x14ac:dyDescent="0.3">
      <c r="A26" s="40">
        <v>22</v>
      </c>
      <c r="B26" s="37" t="s">
        <v>57</v>
      </c>
      <c r="C26" s="41">
        <v>150000</v>
      </c>
      <c r="D26" s="41">
        <f t="shared" si="0"/>
        <v>22500</v>
      </c>
      <c r="E26" s="42">
        <v>198</v>
      </c>
      <c r="F26" s="41">
        <f t="shared" si="1"/>
        <v>4455000</v>
      </c>
    </row>
    <row r="27" spans="1:6" ht="22.05" customHeight="1" x14ac:dyDescent="0.3">
      <c r="A27" s="40">
        <v>23</v>
      </c>
      <c r="B27" s="37" t="s">
        <v>58</v>
      </c>
      <c r="C27" s="41">
        <v>150000</v>
      </c>
      <c r="D27" s="41">
        <f t="shared" si="0"/>
        <v>22500</v>
      </c>
      <c r="E27" s="42">
        <v>5172</v>
      </c>
      <c r="F27" s="41">
        <f t="shared" si="1"/>
        <v>116370000</v>
      </c>
    </row>
    <row r="28" spans="1:6" ht="22.05" customHeight="1" x14ac:dyDescent="0.3">
      <c r="A28" s="40">
        <v>24</v>
      </c>
      <c r="B28" s="37" t="s">
        <v>59</v>
      </c>
      <c r="C28" s="41">
        <v>150000</v>
      </c>
      <c r="D28" s="41">
        <f t="shared" si="0"/>
        <v>22500</v>
      </c>
      <c r="E28" s="42">
        <v>16722</v>
      </c>
      <c r="F28" s="41">
        <f t="shared" si="1"/>
        <v>376245000</v>
      </c>
    </row>
    <row r="29" spans="1:6" ht="22.05" customHeight="1" x14ac:dyDescent="0.3">
      <c r="A29" s="40">
        <v>25</v>
      </c>
      <c r="B29" s="37" t="s">
        <v>60</v>
      </c>
      <c r="C29" s="41">
        <v>150000</v>
      </c>
      <c r="D29" s="41">
        <f t="shared" si="0"/>
        <v>22500</v>
      </c>
      <c r="E29" s="42">
        <v>780</v>
      </c>
      <c r="F29" s="41">
        <f t="shared" si="1"/>
        <v>17550000</v>
      </c>
    </row>
    <row r="30" spans="1:6" ht="22.05" customHeight="1" x14ac:dyDescent="0.3">
      <c r="A30" s="40">
        <v>26</v>
      </c>
      <c r="B30" s="37" t="s">
        <v>61</v>
      </c>
      <c r="C30" s="41">
        <v>150000</v>
      </c>
      <c r="D30" s="41">
        <f t="shared" si="0"/>
        <v>22500</v>
      </c>
      <c r="E30" s="42">
        <v>5076</v>
      </c>
      <c r="F30" s="41">
        <f t="shared" si="1"/>
        <v>114210000</v>
      </c>
    </row>
    <row r="31" spans="1:6" ht="22.05" customHeight="1" x14ac:dyDescent="0.3">
      <c r="A31" s="40">
        <v>27</v>
      </c>
      <c r="B31" s="37" t="s">
        <v>62</v>
      </c>
      <c r="C31" s="41">
        <v>150000</v>
      </c>
      <c r="D31" s="41">
        <f t="shared" si="0"/>
        <v>22500</v>
      </c>
      <c r="E31" s="42">
        <v>13812</v>
      </c>
      <c r="F31" s="41">
        <f t="shared" si="1"/>
        <v>310770000</v>
      </c>
    </row>
    <row r="32" spans="1:6" ht="22.05" customHeight="1" x14ac:dyDescent="0.3">
      <c r="A32" s="40">
        <v>28</v>
      </c>
      <c r="B32" s="37" t="s">
        <v>63</v>
      </c>
      <c r="C32" s="41">
        <v>150000</v>
      </c>
      <c r="D32" s="41">
        <f t="shared" si="0"/>
        <v>22500</v>
      </c>
      <c r="E32" s="42">
        <v>7152</v>
      </c>
      <c r="F32" s="41">
        <f t="shared" si="1"/>
        <v>160920000</v>
      </c>
    </row>
    <row r="33" spans="1:6" ht="22.05" customHeight="1" x14ac:dyDescent="0.3">
      <c r="A33" s="40">
        <v>29</v>
      </c>
      <c r="B33" s="37" t="s">
        <v>64</v>
      </c>
      <c r="C33" s="41">
        <v>150000</v>
      </c>
      <c r="D33" s="41">
        <f t="shared" si="0"/>
        <v>22500</v>
      </c>
      <c r="E33" s="42">
        <v>6</v>
      </c>
      <c r="F33" s="41">
        <f t="shared" si="1"/>
        <v>135000</v>
      </c>
    </row>
    <row r="34" spans="1:6" ht="22.05" customHeight="1" x14ac:dyDescent="0.3">
      <c r="A34" s="40">
        <v>30</v>
      </c>
      <c r="B34" s="37" t="s">
        <v>65</v>
      </c>
      <c r="C34" s="41">
        <v>150000</v>
      </c>
      <c r="D34" s="41">
        <f t="shared" si="0"/>
        <v>22500</v>
      </c>
      <c r="E34" s="42">
        <v>1728</v>
      </c>
      <c r="F34" s="41">
        <f t="shared" si="1"/>
        <v>38880000</v>
      </c>
    </row>
    <row r="35" spans="1:6" ht="22.05" customHeight="1" x14ac:dyDescent="0.3">
      <c r="A35" s="40">
        <v>31</v>
      </c>
      <c r="B35" s="37" t="s">
        <v>66</v>
      </c>
      <c r="C35" s="41">
        <v>150000</v>
      </c>
      <c r="D35" s="41">
        <f t="shared" si="0"/>
        <v>22500</v>
      </c>
      <c r="E35" s="42">
        <v>72</v>
      </c>
      <c r="F35" s="41">
        <f t="shared" si="1"/>
        <v>1620000</v>
      </c>
    </row>
    <row r="36" spans="1:6" ht="22.05" customHeight="1" x14ac:dyDescent="0.3">
      <c r="A36" s="40">
        <v>32</v>
      </c>
      <c r="B36" s="37" t="s">
        <v>67</v>
      </c>
      <c r="C36" s="41">
        <v>150000</v>
      </c>
      <c r="D36" s="41">
        <f t="shared" si="0"/>
        <v>22500</v>
      </c>
      <c r="E36" s="42">
        <v>1026</v>
      </c>
      <c r="F36" s="41">
        <f t="shared" si="1"/>
        <v>23085000</v>
      </c>
    </row>
    <row r="37" spans="1:6" ht="22.05" customHeight="1" x14ac:dyDescent="0.3">
      <c r="A37" s="40">
        <v>33</v>
      </c>
      <c r="B37" s="37" t="s">
        <v>68</v>
      </c>
      <c r="C37" s="41">
        <v>150000</v>
      </c>
      <c r="D37" s="41">
        <f t="shared" si="0"/>
        <v>22500</v>
      </c>
      <c r="E37" s="42">
        <v>5160</v>
      </c>
      <c r="F37" s="41">
        <f t="shared" si="1"/>
        <v>116100000</v>
      </c>
    </row>
    <row r="38" spans="1:6" ht="22.05" customHeight="1" x14ac:dyDescent="0.3">
      <c r="A38" s="40">
        <v>34</v>
      </c>
      <c r="B38" s="37" t="s">
        <v>69</v>
      </c>
      <c r="C38" s="41">
        <v>150000</v>
      </c>
      <c r="D38" s="41">
        <f t="shared" si="0"/>
        <v>22500</v>
      </c>
      <c r="E38" s="42">
        <v>45294</v>
      </c>
      <c r="F38" s="41">
        <f t="shared" si="1"/>
        <v>1019115000</v>
      </c>
    </row>
    <row r="39" spans="1:6" ht="22.05" customHeight="1" x14ac:dyDescent="0.3">
      <c r="A39" s="40">
        <v>35</v>
      </c>
      <c r="B39" s="37" t="s">
        <v>70</v>
      </c>
      <c r="C39" s="41">
        <v>150000</v>
      </c>
      <c r="D39" s="41">
        <f t="shared" si="0"/>
        <v>22500</v>
      </c>
      <c r="E39" s="42">
        <v>45294</v>
      </c>
      <c r="F39" s="41">
        <f t="shared" si="1"/>
        <v>1019115000</v>
      </c>
    </row>
    <row r="40" spans="1:6" ht="22.05" customHeight="1" x14ac:dyDescent="0.3">
      <c r="A40" s="40">
        <v>36</v>
      </c>
      <c r="B40" s="37" t="s">
        <v>71</v>
      </c>
      <c r="C40" s="41">
        <v>150000</v>
      </c>
      <c r="D40" s="41">
        <f t="shared" si="0"/>
        <v>22500</v>
      </c>
      <c r="E40" s="42">
        <v>648</v>
      </c>
      <c r="F40" s="41">
        <f t="shared" si="1"/>
        <v>14580000</v>
      </c>
    </row>
    <row r="41" spans="1:6" ht="22.05" customHeight="1" x14ac:dyDescent="0.3">
      <c r="A41" s="40">
        <v>37</v>
      </c>
      <c r="B41" s="37" t="s">
        <v>72</v>
      </c>
      <c r="C41" s="41">
        <v>150000</v>
      </c>
      <c r="D41" s="41">
        <f t="shared" si="0"/>
        <v>22500</v>
      </c>
      <c r="E41" s="42">
        <v>4536</v>
      </c>
      <c r="F41" s="41">
        <f t="shared" si="1"/>
        <v>102060000</v>
      </c>
    </row>
    <row r="42" spans="1:6" ht="22.05" customHeight="1" x14ac:dyDescent="0.3">
      <c r="A42" s="40">
        <v>38</v>
      </c>
      <c r="B42" s="37" t="s">
        <v>73</v>
      </c>
      <c r="C42" s="41">
        <v>150000</v>
      </c>
      <c r="D42" s="41">
        <f t="shared" si="0"/>
        <v>22500</v>
      </c>
      <c r="E42" s="42">
        <v>228</v>
      </c>
      <c r="F42" s="41">
        <f t="shared" si="1"/>
        <v>5130000</v>
      </c>
    </row>
    <row r="43" spans="1:6" ht="22.05" customHeight="1" x14ac:dyDescent="0.3">
      <c r="A43" s="40">
        <v>39</v>
      </c>
      <c r="B43" s="37" t="s">
        <v>74</v>
      </c>
      <c r="C43" s="41">
        <v>150000</v>
      </c>
      <c r="D43" s="41">
        <f t="shared" si="0"/>
        <v>22500</v>
      </c>
      <c r="E43" s="42">
        <v>138</v>
      </c>
      <c r="F43" s="41">
        <f t="shared" si="1"/>
        <v>3105000</v>
      </c>
    </row>
    <row r="44" spans="1:6" ht="22.05" customHeight="1" x14ac:dyDescent="0.3">
      <c r="A44" s="40">
        <v>40</v>
      </c>
      <c r="B44" s="37" t="s">
        <v>75</v>
      </c>
      <c r="C44" s="41">
        <v>150000</v>
      </c>
      <c r="D44" s="41">
        <f t="shared" si="0"/>
        <v>22500</v>
      </c>
      <c r="E44" s="42">
        <v>45294</v>
      </c>
      <c r="F44" s="41">
        <f t="shared" si="1"/>
        <v>1019115000</v>
      </c>
    </row>
    <row r="45" spans="1:6" ht="22.05" customHeight="1" x14ac:dyDescent="0.3">
      <c r="A45" s="40">
        <v>41</v>
      </c>
      <c r="B45" s="37" t="s">
        <v>76</v>
      </c>
      <c r="C45" s="41">
        <v>150000</v>
      </c>
      <c r="D45" s="41">
        <f t="shared" si="0"/>
        <v>22500</v>
      </c>
      <c r="E45" s="42">
        <v>120</v>
      </c>
      <c r="F45" s="41">
        <f t="shared" si="1"/>
        <v>2700000</v>
      </c>
    </row>
    <row r="46" spans="1:6" ht="22.05" customHeight="1" x14ac:dyDescent="0.3">
      <c r="A46" s="40">
        <v>42</v>
      </c>
      <c r="B46" s="37" t="s">
        <v>77</v>
      </c>
      <c r="C46" s="41">
        <v>150000</v>
      </c>
      <c r="D46" s="41">
        <f t="shared" si="0"/>
        <v>22500</v>
      </c>
      <c r="E46" s="42">
        <v>4704</v>
      </c>
      <c r="F46" s="41">
        <f t="shared" si="1"/>
        <v>105840000</v>
      </c>
    </row>
    <row r="47" spans="1:6" ht="22.05" customHeight="1" x14ac:dyDescent="0.3">
      <c r="A47" s="40">
        <v>43</v>
      </c>
      <c r="B47" s="37" t="s">
        <v>78</v>
      </c>
      <c r="C47" s="41">
        <v>150000</v>
      </c>
      <c r="D47" s="41">
        <f t="shared" si="0"/>
        <v>22500</v>
      </c>
      <c r="E47" s="42">
        <v>114</v>
      </c>
      <c r="F47" s="41">
        <f t="shared" si="1"/>
        <v>2565000</v>
      </c>
    </row>
    <row r="48" spans="1:6" ht="22.05" customHeight="1" x14ac:dyDescent="0.3">
      <c r="A48" s="40">
        <v>44</v>
      </c>
      <c r="B48" s="37" t="s">
        <v>79</v>
      </c>
      <c r="C48" s="41">
        <v>150000</v>
      </c>
      <c r="D48" s="41">
        <f t="shared" si="0"/>
        <v>22500</v>
      </c>
      <c r="E48" s="42">
        <v>9936</v>
      </c>
      <c r="F48" s="41">
        <f t="shared" si="1"/>
        <v>223560000</v>
      </c>
    </row>
    <row r="49" spans="1:6" ht="22.05" customHeight="1" x14ac:dyDescent="0.3">
      <c r="A49" s="40">
        <v>45</v>
      </c>
      <c r="B49" s="37" t="s">
        <v>80</v>
      </c>
      <c r="C49" s="41">
        <v>150000</v>
      </c>
      <c r="D49" s="41">
        <f t="shared" si="0"/>
        <v>22500</v>
      </c>
      <c r="E49" s="42">
        <v>1872</v>
      </c>
      <c r="F49" s="41">
        <f t="shared" si="1"/>
        <v>42120000</v>
      </c>
    </row>
    <row r="50" spans="1:6" ht="22.05" customHeight="1" x14ac:dyDescent="0.3">
      <c r="A50" s="40">
        <v>46</v>
      </c>
      <c r="B50" s="37" t="s">
        <v>81</v>
      </c>
      <c r="C50" s="41">
        <v>150000</v>
      </c>
      <c r="D50" s="41">
        <f t="shared" si="0"/>
        <v>22500</v>
      </c>
      <c r="E50" s="42">
        <v>300</v>
      </c>
      <c r="F50" s="41">
        <f t="shared" si="1"/>
        <v>6750000</v>
      </c>
    </row>
    <row r="51" spans="1:6" ht="22.05" customHeight="1" x14ac:dyDescent="0.3">
      <c r="A51" s="40">
        <v>47</v>
      </c>
      <c r="B51" s="37" t="s">
        <v>82</v>
      </c>
      <c r="C51" s="41">
        <v>150000</v>
      </c>
      <c r="D51" s="41">
        <f t="shared" si="0"/>
        <v>22500</v>
      </c>
      <c r="E51" s="42">
        <v>6</v>
      </c>
      <c r="F51" s="41">
        <f t="shared" si="1"/>
        <v>135000</v>
      </c>
    </row>
    <row r="52" spans="1:6" ht="22.05" customHeight="1" x14ac:dyDescent="0.3">
      <c r="A52" s="40">
        <v>48</v>
      </c>
      <c r="B52" s="37" t="s">
        <v>83</v>
      </c>
      <c r="C52" s="41">
        <v>150000</v>
      </c>
      <c r="D52" s="41">
        <f t="shared" si="0"/>
        <v>22500</v>
      </c>
      <c r="E52" s="42">
        <v>11124</v>
      </c>
      <c r="F52" s="41">
        <f t="shared" si="1"/>
        <v>250290000</v>
      </c>
    </row>
    <row r="53" spans="1:6" ht="22.05" customHeight="1" x14ac:dyDescent="0.3">
      <c r="A53" s="40">
        <v>49</v>
      </c>
      <c r="B53" s="37" t="s">
        <v>84</v>
      </c>
      <c r="C53" s="41">
        <v>150000</v>
      </c>
      <c r="D53" s="41">
        <f t="shared" si="0"/>
        <v>22500</v>
      </c>
      <c r="E53" s="42">
        <v>11124</v>
      </c>
      <c r="F53" s="41">
        <f t="shared" si="1"/>
        <v>250290000</v>
      </c>
    </row>
    <row r="54" spans="1:6" ht="22.05" customHeight="1" x14ac:dyDescent="0.3">
      <c r="A54" s="40">
        <v>50</v>
      </c>
      <c r="B54" s="37" t="s">
        <v>85</v>
      </c>
      <c r="C54" s="41">
        <v>150000</v>
      </c>
      <c r="D54" s="41">
        <f t="shared" si="0"/>
        <v>22500</v>
      </c>
      <c r="E54" s="42">
        <v>726</v>
      </c>
      <c r="F54" s="41">
        <f t="shared" si="1"/>
        <v>16335000</v>
      </c>
    </row>
    <row r="55" spans="1:6" ht="22.05" customHeight="1" x14ac:dyDescent="0.3">
      <c r="A55" s="40">
        <v>51</v>
      </c>
      <c r="B55" s="37" t="s">
        <v>86</v>
      </c>
      <c r="C55" s="41">
        <v>150000</v>
      </c>
      <c r="D55" s="41">
        <f t="shared" si="0"/>
        <v>22500</v>
      </c>
      <c r="E55" s="42">
        <v>12396</v>
      </c>
      <c r="F55" s="41">
        <f t="shared" si="1"/>
        <v>278910000</v>
      </c>
    </row>
    <row r="56" spans="1:6" ht="22.05" customHeight="1" x14ac:dyDescent="0.3">
      <c r="A56" s="40">
        <v>52</v>
      </c>
      <c r="B56" s="37" t="s">
        <v>87</v>
      </c>
      <c r="C56" s="41">
        <v>150000</v>
      </c>
      <c r="D56" s="41">
        <f t="shared" si="0"/>
        <v>22500</v>
      </c>
      <c r="E56" s="42">
        <v>1236</v>
      </c>
      <c r="F56" s="41">
        <f t="shared" si="1"/>
        <v>27810000</v>
      </c>
    </row>
    <row r="57" spans="1:6" ht="22.05" customHeight="1" x14ac:dyDescent="0.3">
      <c r="A57" s="40">
        <v>53</v>
      </c>
      <c r="B57" s="37" t="s">
        <v>88</v>
      </c>
      <c r="C57" s="41">
        <v>150000</v>
      </c>
      <c r="D57" s="41">
        <f t="shared" si="0"/>
        <v>22500</v>
      </c>
      <c r="E57" s="42">
        <v>30624</v>
      </c>
      <c r="F57" s="41">
        <f t="shared" si="1"/>
        <v>689040000</v>
      </c>
    </row>
    <row r="58" spans="1:6" ht="22.05" customHeight="1" x14ac:dyDescent="0.3">
      <c r="A58" s="40">
        <v>54</v>
      </c>
      <c r="B58" s="37" t="s">
        <v>89</v>
      </c>
      <c r="C58" s="41">
        <v>150000</v>
      </c>
      <c r="D58" s="41">
        <f t="shared" si="0"/>
        <v>22500</v>
      </c>
      <c r="E58" s="42">
        <v>12534</v>
      </c>
      <c r="F58" s="41">
        <f t="shared" si="1"/>
        <v>282015000</v>
      </c>
    </row>
    <row r="59" spans="1:6" ht="22.05" customHeight="1" x14ac:dyDescent="0.3">
      <c r="A59" s="40">
        <v>55</v>
      </c>
      <c r="B59" s="37" t="s">
        <v>90</v>
      </c>
      <c r="C59" s="41">
        <v>150000</v>
      </c>
      <c r="D59" s="41">
        <f t="shared" si="0"/>
        <v>22500</v>
      </c>
      <c r="E59" s="42">
        <v>1764</v>
      </c>
      <c r="F59" s="41">
        <f t="shared" si="1"/>
        <v>39690000</v>
      </c>
    </row>
    <row r="60" spans="1:6" ht="22.05" customHeight="1" x14ac:dyDescent="0.3">
      <c r="A60" s="40">
        <v>56</v>
      </c>
      <c r="B60" s="37" t="s">
        <v>91</v>
      </c>
      <c r="C60" s="41">
        <v>150000</v>
      </c>
      <c r="D60" s="41">
        <f t="shared" si="0"/>
        <v>22500</v>
      </c>
      <c r="E60" s="42">
        <v>3420</v>
      </c>
      <c r="F60" s="41">
        <f t="shared" si="1"/>
        <v>76950000</v>
      </c>
    </row>
    <row r="61" spans="1:6" ht="22.05" customHeight="1" x14ac:dyDescent="0.3">
      <c r="A61" s="40">
        <v>57</v>
      </c>
      <c r="B61" s="37" t="s">
        <v>92</v>
      </c>
      <c r="C61" s="41">
        <v>150000</v>
      </c>
      <c r="D61" s="41">
        <f t="shared" si="0"/>
        <v>22500</v>
      </c>
      <c r="E61" s="42">
        <v>3828</v>
      </c>
      <c r="F61" s="41">
        <f t="shared" si="1"/>
        <v>86130000</v>
      </c>
    </row>
    <row r="62" spans="1:6" ht="22.05" customHeight="1" x14ac:dyDescent="0.3">
      <c r="A62" s="40">
        <v>58</v>
      </c>
      <c r="B62" s="37" t="s">
        <v>93</v>
      </c>
      <c r="C62" s="41">
        <v>150000</v>
      </c>
      <c r="D62" s="41">
        <f t="shared" si="0"/>
        <v>22500</v>
      </c>
      <c r="E62" s="42">
        <v>1074</v>
      </c>
      <c r="F62" s="41">
        <f t="shared" si="1"/>
        <v>24165000</v>
      </c>
    </row>
    <row r="63" spans="1:6" ht="22.05" customHeight="1" x14ac:dyDescent="0.3">
      <c r="A63" s="40">
        <v>59</v>
      </c>
      <c r="B63" s="37" t="s">
        <v>94</v>
      </c>
      <c r="C63" s="41">
        <v>150000</v>
      </c>
      <c r="D63" s="41">
        <f t="shared" si="0"/>
        <v>22500</v>
      </c>
      <c r="E63" s="42">
        <v>738</v>
      </c>
      <c r="F63" s="41">
        <f t="shared" si="1"/>
        <v>16605000</v>
      </c>
    </row>
    <row r="64" spans="1:6" ht="22.05" customHeight="1" x14ac:dyDescent="0.3">
      <c r="A64" s="40">
        <v>60</v>
      </c>
      <c r="B64" s="37" t="s">
        <v>95</v>
      </c>
      <c r="C64" s="41">
        <v>150000</v>
      </c>
      <c r="D64" s="41">
        <f t="shared" si="0"/>
        <v>22500</v>
      </c>
      <c r="E64" s="42">
        <v>138</v>
      </c>
      <c r="F64" s="41">
        <f t="shared" si="1"/>
        <v>3105000</v>
      </c>
    </row>
    <row r="65" spans="1:6" ht="22.05" customHeight="1" x14ac:dyDescent="0.3">
      <c r="A65" s="40">
        <v>61</v>
      </c>
      <c r="B65" s="37" t="s">
        <v>96</v>
      </c>
      <c r="C65" s="41">
        <v>150000</v>
      </c>
      <c r="D65" s="41">
        <f t="shared" si="0"/>
        <v>22500</v>
      </c>
      <c r="E65" s="42">
        <v>6</v>
      </c>
      <c r="F65" s="41">
        <f t="shared" si="1"/>
        <v>135000</v>
      </c>
    </row>
    <row r="66" spans="1:6" ht="22.05" customHeight="1" x14ac:dyDescent="0.3">
      <c r="A66" s="40">
        <v>62</v>
      </c>
      <c r="B66" s="37" t="s">
        <v>97</v>
      </c>
      <c r="C66" s="41">
        <v>150000</v>
      </c>
      <c r="D66" s="41">
        <f t="shared" si="0"/>
        <v>22500</v>
      </c>
      <c r="E66" s="42">
        <v>30</v>
      </c>
      <c r="F66" s="41">
        <f t="shared" si="1"/>
        <v>675000</v>
      </c>
    </row>
    <row r="67" spans="1:6" ht="22.05" customHeight="1" x14ac:dyDescent="0.3">
      <c r="A67" s="40">
        <v>63</v>
      </c>
      <c r="B67" s="37" t="s">
        <v>98</v>
      </c>
      <c r="C67" s="41">
        <v>150000</v>
      </c>
      <c r="D67" s="41">
        <f t="shared" si="0"/>
        <v>22500</v>
      </c>
      <c r="E67" s="42">
        <v>108</v>
      </c>
      <c r="F67" s="41">
        <f t="shared" si="1"/>
        <v>2430000</v>
      </c>
    </row>
    <row r="68" spans="1:6" ht="22.05" customHeight="1" x14ac:dyDescent="0.3">
      <c r="A68" s="40">
        <v>64</v>
      </c>
      <c r="B68" s="37" t="s">
        <v>99</v>
      </c>
      <c r="C68" s="41">
        <v>150000</v>
      </c>
      <c r="D68" s="41">
        <f t="shared" si="0"/>
        <v>22500</v>
      </c>
      <c r="E68" s="42">
        <v>108</v>
      </c>
      <c r="F68" s="41">
        <f t="shared" si="1"/>
        <v>2430000</v>
      </c>
    </row>
    <row r="69" spans="1:6" ht="22.05" customHeight="1" x14ac:dyDescent="0.3">
      <c r="A69" s="40">
        <v>65</v>
      </c>
      <c r="B69" s="37" t="s">
        <v>100</v>
      </c>
      <c r="C69" s="41">
        <v>150000</v>
      </c>
      <c r="D69" s="41">
        <f t="shared" si="0"/>
        <v>22500</v>
      </c>
      <c r="E69" s="42">
        <v>798</v>
      </c>
      <c r="F69" s="41">
        <f t="shared" si="1"/>
        <v>17955000</v>
      </c>
    </row>
    <row r="70" spans="1:6" ht="22.05" customHeight="1" x14ac:dyDescent="0.3">
      <c r="A70" s="40">
        <v>66</v>
      </c>
      <c r="B70" s="37" t="s">
        <v>101</v>
      </c>
      <c r="C70" s="41">
        <v>150000</v>
      </c>
      <c r="D70" s="41">
        <f t="shared" ref="D70:D81" si="5">$D$3*C70</f>
        <v>22500</v>
      </c>
      <c r="E70" s="42">
        <v>6</v>
      </c>
      <c r="F70" s="41">
        <f t="shared" ref="F70:F81" si="6">E70*D70</f>
        <v>135000</v>
      </c>
    </row>
    <row r="71" spans="1:6" ht="22.05" customHeight="1" x14ac:dyDescent="0.3">
      <c r="A71" s="40">
        <v>67</v>
      </c>
      <c r="B71" s="37" t="s">
        <v>102</v>
      </c>
      <c r="C71" s="41">
        <v>150000</v>
      </c>
      <c r="D71" s="41">
        <f t="shared" si="5"/>
        <v>22500</v>
      </c>
      <c r="E71" s="42">
        <v>108</v>
      </c>
      <c r="F71" s="41">
        <f t="shared" si="6"/>
        <v>2430000</v>
      </c>
    </row>
    <row r="72" spans="1:6" ht="22.05" customHeight="1" x14ac:dyDescent="0.3">
      <c r="A72" s="40">
        <v>68</v>
      </c>
      <c r="B72" s="37" t="s">
        <v>103</v>
      </c>
      <c r="C72" s="41">
        <v>150000</v>
      </c>
      <c r="D72" s="41">
        <f t="shared" si="5"/>
        <v>22500</v>
      </c>
      <c r="E72" s="42">
        <v>48</v>
      </c>
      <c r="F72" s="41">
        <f t="shared" si="6"/>
        <v>1080000</v>
      </c>
    </row>
    <row r="73" spans="1:6" ht="22.05" customHeight="1" x14ac:dyDescent="0.3">
      <c r="A73" s="40">
        <v>69</v>
      </c>
      <c r="B73" s="37" t="s">
        <v>104</v>
      </c>
      <c r="C73" s="41">
        <v>150000</v>
      </c>
      <c r="D73" s="41">
        <f t="shared" si="5"/>
        <v>22500</v>
      </c>
      <c r="E73" s="42">
        <v>30</v>
      </c>
      <c r="F73" s="41">
        <f t="shared" si="6"/>
        <v>675000</v>
      </c>
    </row>
    <row r="74" spans="1:6" ht="22.05" customHeight="1" x14ac:dyDescent="0.3">
      <c r="A74" s="40">
        <v>70</v>
      </c>
      <c r="B74" s="37" t="s">
        <v>105</v>
      </c>
      <c r="C74" s="41">
        <v>150000</v>
      </c>
      <c r="D74" s="41">
        <f t="shared" si="5"/>
        <v>22500</v>
      </c>
      <c r="E74" s="42">
        <v>18</v>
      </c>
      <c r="F74" s="41">
        <f t="shared" si="6"/>
        <v>405000</v>
      </c>
    </row>
    <row r="75" spans="1:6" ht="22.05" customHeight="1" x14ac:dyDescent="0.3">
      <c r="A75" s="40">
        <v>71</v>
      </c>
      <c r="B75" s="37" t="s">
        <v>106</v>
      </c>
      <c r="C75" s="41">
        <v>150000</v>
      </c>
      <c r="D75" s="41">
        <f t="shared" si="5"/>
        <v>22500</v>
      </c>
      <c r="E75" s="42">
        <v>6</v>
      </c>
      <c r="F75" s="41">
        <f t="shared" si="6"/>
        <v>135000</v>
      </c>
    </row>
    <row r="76" spans="1:6" ht="22.05" customHeight="1" x14ac:dyDescent="0.3">
      <c r="A76" s="40">
        <v>72</v>
      </c>
      <c r="B76" s="37" t="s">
        <v>107</v>
      </c>
      <c r="C76" s="41">
        <v>150000</v>
      </c>
      <c r="D76" s="41">
        <f t="shared" si="5"/>
        <v>22500</v>
      </c>
      <c r="E76" s="42">
        <v>402</v>
      </c>
      <c r="F76" s="41">
        <f t="shared" si="6"/>
        <v>9045000</v>
      </c>
    </row>
    <row r="77" spans="1:6" ht="22.05" customHeight="1" x14ac:dyDescent="0.3">
      <c r="A77" s="40">
        <v>73</v>
      </c>
      <c r="B77" s="37" t="s">
        <v>108</v>
      </c>
      <c r="C77" s="41">
        <v>150000</v>
      </c>
      <c r="D77" s="41">
        <f t="shared" si="5"/>
        <v>22500</v>
      </c>
      <c r="E77" s="42">
        <v>6</v>
      </c>
      <c r="F77" s="41">
        <f t="shared" si="6"/>
        <v>135000</v>
      </c>
    </row>
    <row r="78" spans="1:6" ht="22.05" customHeight="1" x14ac:dyDescent="0.3">
      <c r="A78" s="40">
        <v>74</v>
      </c>
      <c r="B78" s="37" t="s">
        <v>109</v>
      </c>
      <c r="C78" s="41">
        <v>150000</v>
      </c>
      <c r="D78" s="41">
        <f t="shared" si="5"/>
        <v>22500</v>
      </c>
      <c r="E78" s="42">
        <v>30</v>
      </c>
      <c r="F78" s="41">
        <f t="shared" si="6"/>
        <v>675000</v>
      </c>
    </row>
    <row r="79" spans="1:6" ht="22.05" customHeight="1" x14ac:dyDescent="0.3">
      <c r="A79" s="40">
        <v>75</v>
      </c>
      <c r="B79" s="37" t="s">
        <v>110</v>
      </c>
      <c r="C79" s="41">
        <v>150000</v>
      </c>
      <c r="D79" s="41">
        <f t="shared" si="5"/>
        <v>22500</v>
      </c>
      <c r="E79" s="42">
        <v>2964</v>
      </c>
      <c r="F79" s="41">
        <f t="shared" si="6"/>
        <v>66690000</v>
      </c>
    </row>
    <row r="80" spans="1:6" ht="22.05" customHeight="1" x14ac:dyDescent="0.3">
      <c r="A80" s="40">
        <v>76</v>
      </c>
      <c r="B80" s="37" t="s">
        <v>111</v>
      </c>
      <c r="C80" s="41">
        <v>150000</v>
      </c>
      <c r="D80" s="41">
        <f t="shared" si="5"/>
        <v>22500</v>
      </c>
      <c r="E80" s="42">
        <v>642</v>
      </c>
      <c r="F80" s="41">
        <f t="shared" si="6"/>
        <v>14445000</v>
      </c>
    </row>
    <row r="81" spans="1:6" ht="22.05" customHeight="1" x14ac:dyDescent="0.3">
      <c r="A81" s="40">
        <v>77</v>
      </c>
      <c r="B81" s="37" t="s">
        <v>112</v>
      </c>
      <c r="C81" s="41">
        <v>150000</v>
      </c>
      <c r="D81" s="41">
        <f t="shared" si="5"/>
        <v>22500</v>
      </c>
      <c r="E81" s="42">
        <v>534</v>
      </c>
      <c r="F81" s="41">
        <f t="shared" si="6"/>
        <v>12015000</v>
      </c>
    </row>
  </sheetData>
  <mergeCells count="11">
    <mergeCell ref="A1:C2"/>
    <mergeCell ref="L3:L4"/>
    <mergeCell ref="M3:M4"/>
    <mergeCell ref="K10:L10"/>
    <mergeCell ref="G3:G4"/>
    <mergeCell ref="H3:H4"/>
    <mergeCell ref="I3:I4"/>
    <mergeCell ref="J3:J4"/>
    <mergeCell ref="E3:E4"/>
    <mergeCell ref="G6:G9"/>
    <mergeCell ref="H6:H12"/>
  </mergeCells>
  <phoneticPr fontId="2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97A06-224A-40B2-A387-DD32838A6238}">
  <sheetPr>
    <tabColor rgb="FFFF00FF"/>
  </sheetPr>
  <dimension ref="A1:P29"/>
  <sheetViews>
    <sheetView showGridLines="0" zoomScale="110" zoomScaleNormal="110" workbookViewId="0">
      <selection activeCell="J15" sqref="J15:P22"/>
    </sheetView>
  </sheetViews>
  <sheetFormatPr defaultRowHeight="14.4" x14ac:dyDescent="0.3"/>
  <cols>
    <col min="1" max="1" width="3.77734375" customWidth="1"/>
    <col min="2" max="2" width="7.77734375" customWidth="1"/>
    <col min="3" max="4" width="12.77734375" customWidth="1"/>
    <col min="5" max="5" width="14.6640625" customWidth="1"/>
    <col min="6" max="6" width="12.77734375" customWidth="1"/>
    <col min="7" max="7" width="15.5546875" customWidth="1"/>
    <col min="8" max="8" width="14.77734375" customWidth="1"/>
    <col min="16" max="16" width="18.5546875" customWidth="1"/>
  </cols>
  <sheetData>
    <row r="1" spans="1:16" ht="20.399999999999999" x14ac:dyDescent="0.35">
      <c r="A1" s="28" t="s">
        <v>21</v>
      </c>
    </row>
    <row r="2" spans="1:16" ht="9.6" customHeight="1" x14ac:dyDescent="0.3"/>
    <row r="3" spans="1:16" ht="22.95" customHeight="1" x14ac:dyDescent="0.3">
      <c r="B3" s="89" t="s">
        <v>23</v>
      </c>
      <c r="C3" s="89"/>
      <c r="D3" s="89"/>
      <c r="E3" s="89"/>
      <c r="F3" s="89"/>
      <c r="G3" s="89"/>
      <c r="H3" s="89"/>
    </row>
    <row r="4" spans="1:16" ht="37.200000000000003" customHeight="1" x14ac:dyDescent="0.3">
      <c r="B4" s="10" t="s">
        <v>9</v>
      </c>
      <c r="C4" s="10" t="s">
        <v>10</v>
      </c>
      <c r="D4" s="10" t="s">
        <v>11</v>
      </c>
      <c r="E4" s="10" t="s">
        <v>12</v>
      </c>
      <c r="F4" s="10" t="s">
        <v>13</v>
      </c>
      <c r="G4" s="10" t="s">
        <v>14</v>
      </c>
      <c r="H4" s="10" t="s">
        <v>15</v>
      </c>
      <c r="J4" s="119" t="s">
        <v>144</v>
      </c>
    </row>
    <row r="5" spans="1:16" ht="19.95" customHeight="1" x14ac:dyDescent="0.3">
      <c r="B5" s="6">
        <v>1</v>
      </c>
      <c r="C5" s="7">
        <v>260</v>
      </c>
      <c r="D5" s="7">
        <v>130</v>
      </c>
      <c r="E5" s="7">
        <v>12</v>
      </c>
      <c r="F5" s="7">
        <f>SUM(B5:E5)</f>
        <v>403</v>
      </c>
      <c r="G5" s="7">
        <f>1*((1+0.1)^-B5)</f>
        <v>0.90909090909090906</v>
      </c>
      <c r="H5" s="8">
        <f>G5*F5</f>
        <v>366.36363636363637</v>
      </c>
      <c r="J5" s="105" t="s">
        <v>143</v>
      </c>
      <c r="K5" s="105"/>
      <c r="L5" s="105"/>
      <c r="M5" s="105"/>
      <c r="N5" s="105"/>
      <c r="O5" s="105"/>
      <c r="P5" s="105"/>
    </row>
    <row r="6" spans="1:16" ht="19.95" customHeight="1" x14ac:dyDescent="0.3">
      <c r="B6" s="6">
        <v>2</v>
      </c>
      <c r="C6" s="7">
        <v>260</v>
      </c>
      <c r="D6" s="7">
        <v>104</v>
      </c>
      <c r="E6" s="7">
        <v>12</v>
      </c>
      <c r="F6" s="7">
        <f t="shared" ref="F6:F9" si="0">SUM(B6:E6)</f>
        <v>378</v>
      </c>
      <c r="G6" s="7">
        <f t="shared" ref="G6:G10" si="1">1*((1+0.1)^-B6)</f>
        <v>0.82644628099173545</v>
      </c>
      <c r="H6" s="8">
        <f t="shared" ref="H6:H10" si="2">G6*F6</f>
        <v>312.39669421487599</v>
      </c>
      <c r="J6" s="105"/>
      <c r="K6" s="105"/>
      <c r="L6" s="105"/>
      <c r="M6" s="105"/>
      <c r="N6" s="105"/>
      <c r="O6" s="105"/>
      <c r="P6" s="105"/>
    </row>
    <row r="7" spans="1:16" ht="19.95" customHeight="1" x14ac:dyDescent="0.3">
      <c r="B7" s="6">
        <v>3</v>
      </c>
      <c r="C7" s="7">
        <v>260</v>
      </c>
      <c r="D7" s="7">
        <v>78</v>
      </c>
      <c r="E7" s="7">
        <v>12</v>
      </c>
      <c r="F7" s="7">
        <f t="shared" si="0"/>
        <v>353</v>
      </c>
      <c r="G7" s="7">
        <f t="shared" si="1"/>
        <v>0.75131480090157754</v>
      </c>
      <c r="H7" s="8">
        <f t="shared" si="2"/>
        <v>265.21412471825687</v>
      </c>
      <c r="J7" s="105"/>
      <c r="K7" s="105"/>
      <c r="L7" s="105"/>
      <c r="M7" s="105"/>
      <c r="N7" s="105"/>
      <c r="O7" s="105"/>
      <c r="P7" s="105"/>
    </row>
    <row r="8" spans="1:16" ht="19.95" customHeight="1" x14ac:dyDescent="0.3">
      <c r="B8" s="6">
        <v>4</v>
      </c>
      <c r="C8" s="7">
        <v>260</v>
      </c>
      <c r="D8" s="7">
        <v>52</v>
      </c>
      <c r="E8" s="7">
        <v>12</v>
      </c>
      <c r="F8" s="7">
        <f t="shared" si="0"/>
        <v>328</v>
      </c>
      <c r="G8" s="7">
        <f t="shared" si="1"/>
        <v>0.68301345536507052</v>
      </c>
      <c r="H8" s="8">
        <f t="shared" si="2"/>
        <v>224.02841335974313</v>
      </c>
      <c r="J8" s="105"/>
      <c r="K8" s="105"/>
      <c r="L8" s="105"/>
      <c r="M8" s="105"/>
      <c r="N8" s="105"/>
      <c r="O8" s="105"/>
      <c r="P8" s="105"/>
    </row>
    <row r="9" spans="1:16" ht="19.95" customHeight="1" x14ac:dyDescent="0.3">
      <c r="B9" s="6">
        <v>5</v>
      </c>
      <c r="C9" s="7">
        <v>260</v>
      </c>
      <c r="D9" s="7">
        <v>26</v>
      </c>
      <c r="E9" s="7">
        <v>12</v>
      </c>
      <c r="F9" s="7">
        <f t="shared" si="0"/>
        <v>303</v>
      </c>
      <c r="G9" s="7">
        <f t="shared" si="1"/>
        <v>0.62092132305915493</v>
      </c>
      <c r="H9" s="8">
        <f t="shared" si="2"/>
        <v>188.13916088692395</v>
      </c>
    </row>
    <row r="10" spans="1:16" ht="19.95" customHeight="1" x14ac:dyDescent="0.3">
      <c r="B10" s="6">
        <v>5</v>
      </c>
      <c r="C10" s="90" t="s">
        <v>16</v>
      </c>
      <c r="D10" s="90"/>
      <c r="E10" s="7"/>
      <c r="F10" s="7">
        <v>-130</v>
      </c>
      <c r="G10" s="7">
        <f t="shared" si="1"/>
        <v>0.62092132305915493</v>
      </c>
      <c r="H10" s="8">
        <f t="shared" si="2"/>
        <v>-80.719771997690145</v>
      </c>
      <c r="J10" s="106" t="s">
        <v>20</v>
      </c>
      <c r="K10" s="106"/>
      <c r="L10" s="106"/>
      <c r="M10" s="106"/>
      <c r="N10" s="106"/>
      <c r="O10" s="106"/>
      <c r="P10" s="106"/>
    </row>
    <row r="11" spans="1:16" ht="19.95" customHeight="1" x14ac:dyDescent="0.3">
      <c r="B11" s="91"/>
      <c r="C11" s="91"/>
      <c r="D11" s="91"/>
      <c r="E11" s="91"/>
      <c r="F11" s="91"/>
      <c r="G11" s="14" t="s">
        <v>17</v>
      </c>
      <c r="H11" s="15">
        <f>SUM(H5:H10)</f>
        <v>1275.4222575457461</v>
      </c>
      <c r="J11" s="106"/>
      <c r="K11" s="106"/>
      <c r="L11" s="106"/>
      <c r="M11" s="106"/>
      <c r="N11" s="106"/>
      <c r="O11" s="106"/>
      <c r="P11" s="106"/>
    </row>
    <row r="12" spans="1:16" ht="15.6" customHeight="1" x14ac:dyDescent="0.3">
      <c r="B12" s="9"/>
      <c r="C12" s="9"/>
      <c r="D12" s="9"/>
      <c r="E12" s="9"/>
      <c r="F12" s="9"/>
      <c r="G12" s="9"/>
      <c r="H12" s="9"/>
      <c r="J12" s="106"/>
      <c r="K12" s="106"/>
      <c r="L12" s="106"/>
      <c r="M12" s="106"/>
      <c r="N12" s="106"/>
      <c r="O12" s="106"/>
      <c r="P12" s="106"/>
    </row>
    <row r="13" spans="1:16" ht="22.95" customHeight="1" x14ac:dyDescent="0.3">
      <c r="B13" s="104" t="s">
        <v>18</v>
      </c>
      <c r="C13" s="104"/>
      <c r="D13" s="104"/>
      <c r="E13" s="104"/>
      <c r="F13" s="104"/>
      <c r="G13" s="104"/>
      <c r="H13" s="104"/>
      <c r="J13" s="106"/>
      <c r="K13" s="106"/>
      <c r="L13" s="106"/>
      <c r="M13" s="106"/>
      <c r="N13" s="106"/>
      <c r="O13" s="106"/>
      <c r="P13" s="106"/>
    </row>
    <row r="14" spans="1:16" ht="37.799999999999997" customHeight="1" x14ac:dyDescent="0.3">
      <c r="B14" s="25" t="s">
        <v>9</v>
      </c>
      <c r="C14" s="25" t="s">
        <v>19</v>
      </c>
      <c r="D14" s="92"/>
      <c r="E14" s="93"/>
      <c r="F14" s="94"/>
      <c r="G14" s="25" t="s">
        <v>14</v>
      </c>
      <c r="H14" s="25" t="s">
        <v>15</v>
      </c>
      <c r="J14" s="106"/>
      <c r="K14" s="106"/>
      <c r="L14" s="106"/>
      <c r="M14" s="106"/>
      <c r="N14" s="106"/>
      <c r="O14" s="106"/>
      <c r="P14" s="106"/>
    </row>
    <row r="15" spans="1:16" ht="19.95" customHeight="1" x14ac:dyDescent="0.3">
      <c r="B15" s="6">
        <v>1</v>
      </c>
      <c r="C15" s="7">
        <v>280</v>
      </c>
      <c r="D15" s="95"/>
      <c r="E15" s="96"/>
      <c r="F15" s="97"/>
      <c r="G15" s="7">
        <f>1*((1+0.1)^-B15)</f>
        <v>0.90909090909090906</v>
      </c>
      <c r="H15" s="8">
        <f>C15*G15</f>
        <v>254.54545454545453</v>
      </c>
      <c r="J15" s="106" t="s">
        <v>145</v>
      </c>
      <c r="K15" s="106"/>
      <c r="L15" s="106"/>
      <c r="M15" s="106"/>
      <c r="N15" s="106"/>
      <c r="O15" s="106"/>
      <c r="P15" s="106"/>
    </row>
    <row r="16" spans="1:16" ht="19.95" customHeight="1" x14ac:dyDescent="0.3">
      <c r="B16" s="6">
        <v>2</v>
      </c>
      <c r="C16" s="7">
        <v>280</v>
      </c>
      <c r="D16" s="98"/>
      <c r="E16" s="99"/>
      <c r="F16" s="100"/>
      <c r="G16" s="7">
        <f t="shared" ref="G16:G19" si="3">1*((1+0.1)^-B16)</f>
        <v>0.82644628099173545</v>
      </c>
      <c r="H16" s="8">
        <f t="shared" ref="H16:H19" si="4">C16*G16</f>
        <v>231.40495867768593</v>
      </c>
      <c r="J16" s="106"/>
      <c r="K16" s="106"/>
      <c r="L16" s="106"/>
      <c r="M16" s="106"/>
      <c r="N16" s="106"/>
      <c r="O16" s="106"/>
      <c r="P16" s="106"/>
    </row>
    <row r="17" spans="2:16" ht="19.95" customHeight="1" x14ac:dyDescent="0.3">
      <c r="B17" s="6">
        <v>3</v>
      </c>
      <c r="C17" s="7">
        <v>280</v>
      </c>
      <c r="D17" s="98"/>
      <c r="E17" s="99"/>
      <c r="F17" s="100"/>
      <c r="G17" s="7">
        <f t="shared" si="3"/>
        <v>0.75131480090157754</v>
      </c>
      <c r="H17" s="8">
        <f t="shared" si="4"/>
        <v>210.36814425244171</v>
      </c>
      <c r="J17" s="106"/>
      <c r="K17" s="106"/>
      <c r="L17" s="106"/>
      <c r="M17" s="106"/>
      <c r="N17" s="106"/>
      <c r="O17" s="106"/>
      <c r="P17" s="106"/>
    </row>
    <row r="18" spans="2:16" ht="19.95" customHeight="1" x14ac:dyDescent="0.3">
      <c r="B18" s="6">
        <v>4</v>
      </c>
      <c r="C18" s="7">
        <v>280</v>
      </c>
      <c r="D18" s="98"/>
      <c r="E18" s="99"/>
      <c r="F18" s="100"/>
      <c r="G18" s="7">
        <f t="shared" si="3"/>
        <v>0.68301345536507052</v>
      </c>
      <c r="H18" s="8">
        <f t="shared" si="4"/>
        <v>191.24376750221975</v>
      </c>
      <c r="J18" s="106"/>
      <c r="K18" s="106"/>
      <c r="L18" s="106"/>
      <c r="M18" s="106"/>
      <c r="N18" s="106"/>
      <c r="O18" s="106"/>
      <c r="P18" s="106"/>
    </row>
    <row r="19" spans="2:16" ht="19.95" customHeight="1" x14ac:dyDescent="0.3">
      <c r="B19" s="6">
        <v>5</v>
      </c>
      <c r="C19" s="7">
        <v>280</v>
      </c>
      <c r="D19" s="101"/>
      <c r="E19" s="102"/>
      <c r="F19" s="103"/>
      <c r="G19" s="7">
        <f t="shared" si="3"/>
        <v>0.62092132305915493</v>
      </c>
      <c r="H19" s="8">
        <f t="shared" si="4"/>
        <v>173.85797045656338</v>
      </c>
      <c r="J19" s="106"/>
      <c r="K19" s="106"/>
      <c r="L19" s="106"/>
      <c r="M19" s="106"/>
      <c r="N19" s="106"/>
      <c r="O19" s="106"/>
      <c r="P19" s="106"/>
    </row>
    <row r="20" spans="2:16" ht="19.95" customHeight="1" x14ac:dyDescent="0.3">
      <c r="B20" s="91"/>
      <c r="C20" s="91"/>
      <c r="D20" s="91"/>
      <c r="E20" s="91"/>
      <c r="F20" s="91"/>
      <c r="G20" s="16" t="s">
        <v>17</v>
      </c>
      <c r="H20" s="17">
        <f>SUM(H15:H19)</f>
        <v>1061.4202954343652</v>
      </c>
      <c r="J20" s="106"/>
      <c r="K20" s="106"/>
      <c r="L20" s="106"/>
      <c r="M20" s="106"/>
      <c r="N20" s="106"/>
      <c r="O20" s="106"/>
      <c r="P20" s="106"/>
    </row>
    <row r="21" spans="2:16" ht="15.6" x14ac:dyDescent="0.3">
      <c r="B21" s="9"/>
      <c r="C21" s="9"/>
      <c r="D21" s="9"/>
      <c r="E21" s="9"/>
      <c r="F21" s="9"/>
      <c r="G21" s="9"/>
      <c r="H21" s="9"/>
      <c r="J21" s="106"/>
      <c r="K21" s="106"/>
      <c r="L21" s="106"/>
      <c r="M21" s="106"/>
      <c r="N21" s="106"/>
      <c r="O21" s="106"/>
      <c r="P21" s="106"/>
    </row>
    <row r="22" spans="2:16" ht="22.95" customHeight="1" x14ac:dyDescent="0.3">
      <c r="B22" s="104" t="s">
        <v>29</v>
      </c>
      <c r="C22" s="104"/>
      <c r="D22" s="104"/>
      <c r="E22" s="104"/>
      <c r="F22" s="104"/>
      <c r="G22" s="104"/>
      <c r="H22" s="104"/>
      <c r="J22" s="106"/>
      <c r="K22" s="106"/>
      <c r="L22" s="106"/>
      <c r="M22" s="106"/>
      <c r="N22" s="106"/>
      <c r="O22" s="106"/>
      <c r="P22" s="106"/>
    </row>
    <row r="23" spans="2:16" ht="45.6" customHeight="1" x14ac:dyDescent="0.3">
      <c r="B23" s="26" t="s">
        <v>9</v>
      </c>
      <c r="C23" s="118" t="s">
        <v>135</v>
      </c>
      <c r="D23" s="107"/>
      <c r="E23" s="108"/>
      <c r="F23" s="109"/>
      <c r="G23" s="26" t="s">
        <v>14</v>
      </c>
      <c r="H23" s="26" t="s">
        <v>15</v>
      </c>
      <c r="J23" s="120" t="s">
        <v>146</v>
      </c>
      <c r="K23" s="120"/>
      <c r="L23" s="120"/>
      <c r="M23" s="120"/>
      <c r="N23" s="120"/>
      <c r="O23" s="120"/>
      <c r="P23" s="120"/>
    </row>
    <row r="24" spans="2:16" ht="19.95" customHeight="1" x14ac:dyDescent="0.3">
      <c r="B24" s="6">
        <v>1</v>
      </c>
      <c r="C24" s="7">
        <f>-('SKEMA REVENUE SHARING'!M5/1000000)</f>
        <v>382.5</v>
      </c>
      <c r="D24" s="95"/>
      <c r="E24" s="96"/>
      <c r="F24" s="97"/>
      <c r="G24" s="7">
        <f>1*((1+0.1)^-B24)</f>
        <v>0.90909090909090906</v>
      </c>
      <c r="H24" s="8">
        <f>C24*G24</f>
        <v>347.72727272727269</v>
      </c>
    </row>
    <row r="25" spans="2:16" ht="19.95" customHeight="1" x14ac:dyDescent="0.3">
      <c r="B25" s="6">
        <v>2</v>
      </c>
      <c r="C25" s="7">
        <f>-('SKEMA REVENUE SHARING'!M6/1000000)</f>
        <v>382.5</v>
      </c>
      <c r="D25" s="98"/>
      <c r="E25" s="99"/>
      <c r="F25" s="100"/>
      <c r="G25" s="7">
        <f t="shared" ref="G25:G28" si="5">1*((1+0.1)^-B25)</f>
        <v>0.82644628099173545</v>
      </c>
      <c r="H25" s="8">
        <f t="shared" ref="H25:H28" si="6">C25*G25</f>
        <v>316.11570247933884</v>
      </c>
    </row>
    <row r="26" spans="2:16" ht="19.95" customHeight="1" x14ac:dyDescent="0.3">
      <c r="B26" s="6">
        <v>3</v>
      </c>
      <c r="C26" s="7">
        <f>-('SKEMA REVENUE SHARING'!M7/1000000)</f>
        <v>382.5</v>
      </c>
      <c r="D26" s="98"/>
      <c r="E26" s="99"/>
      <c r="F26" s="100"/>
      <c r="G26" s="7">
        <f t="shared" si="5"/>
        <v>0.75131480090157754</v>
      </c>
      <c r="H26" s="8">
        <f t="shared" si="6"/>
        <v>287.37791134485343</v>
      </c>
    </row>
    <row r="27" spans="2:16" ht="19.95" customHeight="1" x14ac:dyDescent="0.3">
      <c r="B27" s="6">
        <v>4</v>
      </c>
      <c r="C27" s="7">
        <f>-('SKEMA REVENUE SHARING'!M8/1000000)</f>
        <v>382.5</v>
      </c>
      <c r="D27" s="98"/>
      <c r="E27" s="99"/>
      <c r="F27" s="100"/>
      <c r="G27" s="7">
        <f t="shared" si="5"/>
        <v>0.68301345536507052</v>
      </c>
      <c r="H27" s="8">
        <f t="shared" si="6"/>
        <v>261.25264667713947</v>
      </c>
    </row>
    <row r="28" spans="2:16" ht="19.95" customHeight="1" x14ac:dyDescent="0.3">
      <c r="B28" s="6">
        <v>5</v>
      </c>
      <c r="C28" s="7">
        <f>-('SKEMA REVENUE SHARING'!M9/1000000)</f>
        <v>382.5</v>
      </c>
      <c r="D28" s="101"/>
      <c r="E28" s="102"/>
      <c r="F28" s="103"/>
      <c r="G28" s="7">
        <f t="shared" si="5"/>
        <v>0.62092132305915493</v>
      </c>
      <c r="H28" s="8">
        <f t="shared" si="6"/>
        <v>237.50240607012677</v>
      </c>
    </row>
    <row r="29" spans="2:16" ht="19.95" customHeight="1" x14ac:dyDescent="0.3">
      <c r="B29" s="91"/>
      <c r="C29" s="91"/>
      <c r="D29" s="91"/>
      <c r="E29" s="91"/>
      <c r="F29" s="91"/>
      <c r="G29" s="16" t="s">
        <v>17</v>
      </c>
      <c r="H29" s="17">
        <f>SUM(H24:H28)</f>
        <v>1449.9759392987312</v>
      </c>
    </row>
  </sheetData>
  <mergeCells count="15">
    <mergeCell ref="B29:F29"/>
    <mergeCell ref="B13:H13"/>
    <mergeCell ref="J5:P8"/>
    <mergeCell ref="B22:H22"/>
    <mergeCell ref="B20:F20"/>
    <mergeCell ref="D23:F23"/>
    <mergeCell ref="D24:F28"/>
    <mergeCell ref="J10:P14"/>
    <mergeCell ref="J15:P22"/>
    <mergeCell ref="J23:P23"/>
    <mergeCell ref="B3:H3"/>
    <mergeCell ref="C10:D10"/>
    <mergeCell ref="B11:F11"/>
    <mergeCell ref="D14:F14"/>
    <mergeCell ref="D15:F19"/>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MENU</vt:lpstr>
      <vt:lpstr>ALTERNATIF PENAWARAN</vt:lpstr>
      <vt:lpstr>SKEMA REVENUE SHARING</vt:lpstr>
      <vt:lpstr>Ans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Johny Setyawan</dc:creator>
  <cp:lastModifiedBy>Timotius Setyawan</cp:lastModifiedBy>
  <dcterms:created xsi:type="dcterms:W3CDTF">2018-02-03T16:11:34Z</dcterms:created>
  <dcterms:modified xsi:type="dcterms:W3CDTF">2025-08-11T04:39:49Z</dcterms:modified>
</cp:coreProperties>
</file>